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송정현\Documents\Projects\박재홍교수님세미나\Projects\20기\7eleven_npd_framework\eda\"/>
    </mc:Choice>
  </mc:AlternateContent>
  <xr:revisionPtr revIDLastSave="0" documentId="13_ncr:1_{5A2EDACD-4558-403F-AC8C-C36D93749B89}" xr6:coauthVersionLast="47" xr6:coauthVersionMax="47" xr10:uidLastSave="{00000000-0000-0000-0000-000000000000}"/>
  <bookViews>
    <workbookView xWindow="-19290" yWindow="-90" windowWidth="19380" windowHeight="10260" xr2:uid="{00000000-000D-0000-FFFF-FFFF00000000}"/>
  </bookViews>
  <sheets>
    <sheet name="카테고리분석with파레토" sheetId="3" r:id="rId1"/>
    <sheet name="분포분석_파레토" sheetId="5" r:id="rId2"/>
  </sheets>
  <definedNames>
    <definedName name="_xlnm._FilterDatabase" localSheetId="0" hidden="1">카테고리분석with파레토!$A$1:$F$91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3" i="3" l="1"/>
  <c r="F56" i="3"/>
  <c r="F53" i="3"/>
  <c r="F27" i="3"/>
  <c r="F25" i="3"/>
  <c r="F5" i="3"/>
  <c r="F44" i="3"/>
  <c r="F83" i="3"/>
  <c r="F36" i="3"/>
  <c r="F70" i="3"/>
  <c r="F89" i="3"/>
  <c r="F52" i="3"/>
  <c r="F38" i="3"/>
  <c r="F62" i="3"/>
  <c r="F80" i="3"/>
  <c r="F16" i="3"/>
  <c r="F59" i="3"/>
  <c r="F66" i="3"/>
  <c r="F65" i="3"/>
  <c r="F88" i="3"/>
  <c r="F17" i="3"/>
  <c r="F82" i="3"/>
  <c r="F23" i="3"/>
  <c r="F81" i="3"/>
  <c r="F39" i="3"/>
  <c r="F48" i="3"/>
  <c r="F11" i="3"/>
  <c r="F30" i="3"/>
  <c r="F4" i="3"/>
  <c r="F15" i="3"/>
  <c r="F29" i="3"/>
  <c r="F84" i="3"/>
  <c r="F21" i="3"/>
  <c r="F45" i="3"/>
  <c r="F77" i="3"/>
  <c r="F78" i="3"/>
  <c r="F69" i="3"/>
  <c r="F3" i="3"/>
  <c r="F46" i="3"/>
  <c r="F55" i="3"/>
  <c r="F37" i="3"/>
  <c r="F19" i="3"/>
  <c r="F6" i="3"/>
  <c r="F28" i="3"/>
  <c r="F40" i="3"/>
  <c r="F47" i="3"/>
  <c r="F71" i="3"/>
  <c r="F2" i="3"/>
  <c r="F10" i="3"/>
  <c r="F85" i="3"/>
  <c r="F79" i="3"/>
  <c r="F35" i="3"/>
  <c r="F33" i="3"/>
  <c r="F14" i="3"/>
  <c r="F12" i="3"/>
  <c r="F64" i="3"/>
  <c r="F68" i="3"/>
  <c r="F51" i="3"/>
  <c r="F8" i="3"/>
  <c r="F91" i="3"/>
  <c r="F63" i="3"/>
  <c r="F49" i="3"/>
  <c r="F22" i="3"/>
  <c r="F75" i="3"/>
  <c r="F41" i="3"/>
  <c r="F57" i="3"/>
  <c r="F18" i="3"/>
  <c r="F61" i="3"/>
  <c r="F50" i="3"/>
  <c r="F31" i="3"/>
  <c r="F76" i="3"/>
  <c r="F7" i="3"/>
  <c r="F87" i="3"/>
  <c r="F86" i="3"/>
  <c r="F32" i="3"/>
  <c r="F34" i="3"/>
  <c r="F20" i="3"/>
  <c r="F26" i="3"/>
  <c r="F13" i="3"/>
  <c r="F60" i="3"/>
  <c r="F43" i="3"/>
  <c r="F42" i="3"/>
  <c r="F58" i="3"/>
  <c r="F54" i="3"/>
  <c r="F67" i="3"/>
  <c r="F24" i="3"/>
  <c r="F72" i="3"/>
  <c r="F74" i="3"/>
  <c r="F9" i="3"/>
  <c r="F90" i="3"/>
  <c r="Y3" i="5" a="1"/>
  <c r="Y3" i="5" s="1"/>
  <c r="X3" i="5" a="1"/>
  <c r="X3" i="5" s="1"/>
  <c r="W3" i="5" a="1"/>
  <c r="W3" i="5" s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F20" i="5"/>
  <c r="F19" i="5"/>
  <c r="F18" i="5"/>
  <c r="F17" i="5"/>
  <c r="F14" i="5"/>
  <c r="F13" i="5"/>
  <c r="F12" i="5"/>
  <c r="F11" i="5"/>
  <c r="F10" i="5"/>
  <c r="F7" i="5"/>
  <c r="F6" i="5"/>
  <c r="F5" i="5"/>
  <c r="F4" i="5"/>
  <c r="F3" i="5"/>
  <c r="F2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F8" i="5"/>
  <c r="F9" i="5"/>
  <c r="F15" i="5"/>
  <c r="F16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<sst xmlns="http://schemas.openxmlformats.org/spreadsheetml/2006/main" count="275" uniqueCount="130">
  <si>
    <t>ITEM_MDDV_NM</t>
  </si>
  <si>
    <t>평균</t>
  </si>
  <si>
    <t>중앙값</t>
  </si>
  <si>
    <t>신상품수</t>
  </si>
  <si>
    <t>평균_중앙값_비율</t>
  </si>
  <si>
    <t>유제품</t>
  </si>
  <si>
    <t>흰우유</t>
  </si>
  <si>
    <t>김밥</t>
  </si>
  <si>
    <t>냉장피자</t>
  </si>
  <si>
    <t>차음료</t>
  </si>
  <si>
    <t>초밥류</t>
  </si>
  <si>
    <t>식빵</t>
  </si>
  <si>
    <t>삼각김밥</t>
  </si>
  <si>
    <t>구움과자</t>
  </si>
  <si>
    <t>농산안주</t>
  </si>
  <si>
    <t>두유</t>
  </si>
  <si>
    <t>냉장간식</t>
  </si>
  <si>
    <t>식용유지</t>
  </si>
  <si>
    <t>샐러드모닝랩</t>
  </si>
  <si>
    <t xml:space="preserve">샐러드 </t>
  </si>
  <si>
    <t>쨈/꿀</t>
  </si>
  <si>
    <t>젤리</t>
  </si>
  <si>
    <t>호빵</t>
  </si>
  <si>
    <t>가공미반류</t>
  </si>
  <si>
    <t>햄버거</t>
  </si>
  <si>
    <t>스낵안주</t>
  </si>
  <si>
    <t>기능성우유</t>
  </si>
  <si>
    <t>생선류</t>
  </si>
  <si>
    <t>요구르트</t>
  </si>
  <si>
    <t>프로틴/시리얼</t>
  </si>
  <si>
    <t>냉장안주</t>
  </si>
  <si>
    <t>냉장주스</t>
  </si>
  <si>
    <t>오징어</t>
  </si>
  <si>
    <t>육포</t>
  </si>
  <si>
    <t>냉동만두</t>
  </si>
  <si>
    <t>주스</t>
  </si>
  <si>
    <t>컵커피</t>
  </si>
  <si>
    <t>냉장베이커리</t>
  </si>
  <si>
    <t>푸드 간편식</t>
  </si>
  <si>
    <t>조리냉동</t>
  </si>
  <si>
    <t>가공우유</t>
  </si>
  <si>
    <t xml:space="preserve">선물세트 </t>
  </si>
  <si>
    <t>프로틴 음료</t>
  </si>
  <si>
    <t>간식빵</t>
  </si>
  <si>
    <t>껌</t>
  </si>
  <si>
    <t>용기면</t>
  </si>
  <si>
    <t>즉석조리</t>
  </si>
  <si>
    <t>장류</t>
  </si>
  <si>
    <t>리쿼</t>
  </si>
  <si>
    <t>스낵류</t>
  </si>
  <si>
    <t>선물세트</t>
  </si>
  <si>
    <t>샌드위치</t>
  </si>
  <si>
    <t>과일</t>
  </si>
  <si>
    <t>탄산음료</t>
  </si>
  <si>
    <t>파우치</t>
  </si>
  <si>
    <t>젤리류</t>
  </si>
  <si>
    <t>숙취해소제</t>
  </si>
  <si>
    <t>떡</t>
  </si>
  <si>
    <t>냉동간편식</t>
  </si>
  <si>
    <t>소스류</t>
  </si>
  <si>
    <t>기능성드링크</t>
  </si>
  <si>
    <t>신선냉동</t>
  </si>
  <si>
    <t>캔</t>
  </si>
  <si>
    <t>쌀/잡곡</t>
  </si>
  <si>
    <t>초콜릿</t>
  </si>
  <si>
    <t>즉석치킨</t>
  </si>
  <si>
    <t>무알콜맥주</t>
  </si>
  <si>
    <t>비스킷류</t>
  </si>
  <si>
    <t>수축산/계란</t>
  </si>
  <si>
    <t>건강/이너뷰티</t>
  </si>
  <si>
    <t>커피음료</t>
  </si>
  <si>
    <t>건해산물</t>
  </si>
  <si>
    <t>하이볼</t>
  </si>
  <si>
    <t>도시락</t>
  </si>
  <si>
    <t>전통음료</t>
  </si>
  <si>
    <t>상온간편식</t>
  </si>
  <si>
    <t>커피</t>
  </si>
  <si>
    <t>소주</t>
  </si>
  <si>
    <t>조미료</t>
  </si>
  <si>
    <t>너트류</t>
  </si>
  <si>
    <t>냉장간편식</t>
  </si>
  <si>
    <t>봉지면</t>
  </si>
  <si>
    <t>야채</t>
  </si>
  <si>
    <t>컨셉카페</t>
  </si>
  <si>
    <t>양주</t>
  </si>
  <si>
    <t>막걸리</t>
  </si>
  <si>
    <t>시즌케익</t>
  </si>
  <si>
    <t>홈타입</t>
  </si>
  <si>
    <t>원컵</t>
  </si>
  <si>
    <t>차</t>
  </si>
  <si>
    <t>수입맥주</t>
  </si>
  <si>
    <t>고급</t>
  </si>
  <si>
    <t>미분류</t>
  </si>
  <si>
    <t>생수</t>
  </si>
  <si>
    <t>스포츠음료</t>
  </si>
  <si>
    <t>카테고리</t>
  </si>
  <si>
    <t>[기초 통계량]</t>
  </si>
  <si>
    <t>N</t>
  </si>
  <si>
    <t>Min</t>
  </si>
  <si>
    <t>Max</t>
  </si>
  <si>
    <t>Mean</t>
  </si>
  <si>
    <t>Median</t>
  </si>
  <si>
    <t>Std</t>
  </si>
  <si>
    <t>[IQR 기반]</t>
  </si>
  <si>
    <t>Q1 (25%)</t>
  </si>
  <si>
    <t>Q3 (75%)</t>
  </si>
  <si>
    <t>IQR</t>
  </si>
  <si>
    <t>Upper fence (Q3+1.5·IQR)</t>
  </si>
  <si>
    <t>Extreme fence (Q3+3·IQR)</t>
  </si>
  <si>
    <t>[이상치 개수]</t>
  </si>
  <si>
    <t>&gt; 10</t>
  </si>
  <si>
    <t>&gt; 20</t>
  </si>
  <si>
    <t>log10(비율)</t>
  </si>
  <si>
    <t>log10(36.2)</t>
  </si>
  <si>
    <t>비율</t>
  </si>
  <si>
    <t>IQR1.5</t>
  </si>
  <si>
    <t>IQR3.0</t>
  </si>
  <si>
    <t>&gt; 6.24 (IQR 1.5)</t>
  </si>
  <si>
    <t>&gt; 9.27 (IQR 3.0)</t>
  </si>
  <si>
    <t>IQR×1.5 (6.24)</t>
  </si>
  <si>
    <t>IQR×3.0 (9.27)</t>
  </si>
  <si>
    <t>log10(6.24)</t>
  </si>
  <si>
    <t>log10(9.27)</t>
  </si>
  <si>
    <t>중분류</t>
  </si>
  <si>
    <t>평균/중앙값 비율</t>
  </si>
  <si>
    <t>이상치(IQR 3.0)</t>
  </si>
  <si>
    <t>[빨간 선(IQR×3.0=9.27) 컷]</t>
  </si>
  <si>
    <t>파레토(IQR3.0)</t>
  </si>
  <si>
    <t>사용여부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</si>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</sst>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4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4" borderId="0" xfId="0" applyFill="1"/>
    <xf numFmtId="0" fontId="2" fillId="2" borderId="0" xfId="0" applyFont="1" applyFill="1"/>
    <xf numFmtId="0" fontId="3" fillId="5" borderId="0" xfId="0" applyFont="1" applyFill="1"/>
    <xf numFmtId="0" fontId="4" fillId="3" borderId="0" xfId="0" applyFont="1" applyFill="1"/>
    <xf numFmtId="2" fontId="5" fillId="3" borderId="0" xfId="0" applyNumberFormat="1" applyFont="1" applyFill="1"/>
    <xf numFmtId="0" fontId="5" fillId="3" borderId="0" xfId="0" applyFont="1" applyFill="1"/>
    <xf numFmtId="2" fontId="5" fillId="5" borderId="0" xfId="0" applyNumberFormat="1" applyFont="1" applyFill="1"/>
    <xf numFmtId="0" fontId="5" fillId="5" borderId="0" xfId="0" applyFont="1" applyFill="1"/>
    <xf numFmtId="0" fontId="5" fillId="0" borderId="0" xfId="0" applyFont="1"/>
    <xf numFmtId="0" fontId="6" fillId="0" borderId="0" xfId="0" applyFont="1"/>
    <xf numFmtId="0" fontId="2" fillId="6" borderId="0" xfId="0" applyFont="1" applyFill="1"/>
    <xf numFmtId="0" fontId="6" fillId="6" borderId="0" xfId="0" applyFont="1" applyFill="1"/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카테고리별 평균</a:t>
            </a:r>
            <a:r>
              <a:rPr lang="en-US"/>
              <a:t>/</a:t>
            </a:r>
            <a:r>
              <a:rPr lang="ko-KR"/>
              <a:t>중앙값 비율 </a:t>
            </a:r>
            <a:r>
              <a:rPr lang="en-US"/>
              <a:t>(</a:t>
            </a:r>
            <a:r>
              <a:rPr lang="ko-KR"/>
              <a:t>원본 스케일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분포분석_파레토!$N$1</c:f>
              <c:strCache>
                <c:ptCount val="1"/>
                <c:pt idx="0">
                  <c:v>비율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분포분석_파레토!$M$2:$M$91</c:f>
              <c:strCache>
                <c:ptCount val="90"/>
                <c:pt idx="0">
                  <c:v>스포츠음료</c:v>
                </c:pt>
                <c:pt idx="1">
                  <c:v>생수</c:v>
                </c:pt>
                <c:pt idx="2">
                  <c:v>미분류</c:v>
                </c:pt>
                <c:pt idx="3">
                  <c:v>고급</c:v>
                </c:pt>
                <c:pt idx="4">
                  <c:v>수입맥주</c:v>
                </c:pt>
                <c:pt idx="5">
                  <c:v>차</c:v>
                </c:pt>
                <c:pt idx="6">
                  <c:v>원컵</c:v>
                </c:pt>
                <c:pt idx="7">
                  <c:v>홈타입</c:v>
                </c:pt>
                <c:pt idx="8">
                  <c:v>시즌케익</c:v>
                </c:pt>
                <c:pt idx="9">
                  <c:v>막걸리</c:v>
                </c:pt>
                <c:pt idx="10">
                  <c:v>양주</c:v>
                </c:pt>
                <c:pt idx="11">
                  <c:v>컨셉카페</c:v>
                </c:pt>
                <c:pt idx="12">
                  <c:v>야채</c:v>
                </c:pt>
                <c:pt idx="13">
                  <c:v>봉지면</c:v>
                </c:pt>
                <c:pt idx="14">
                  <c:v>냉장간편식</c:v>
                </c:pt>
                <c:pt idx="15">
                  <c:v>너트류</c:v>
                </c:pt>
                <c:pt idx="16">
                  <c:v>조미료</c:v>
                </c:pt>
                <c:pt idx="17">
                  <c:v>소주</c:v>
                </c:pt>
                <c:pt idx="18">
                  <c:v>커피</c:v>
                </c:pt>
                <c:pt idx="19">
                  <c:v>상온간편식</c:v>
                </c:pt>
                <c:pt idx="20">
                  <c:v>전통음료</c:v>
                </c:pt>
                <c:pt idx="21">
                  <c:v>도시락</c:v>
                </c:pt>
                <c:pt idx="22">
                  <c:v>하이볼</c:v>
                </c:pt>
                <c:pt idx="23">
                  <c:v>건해산물</c:v>
                </c:pt>
                <c:pt idx="24">
                  <c:v>커피음료</c:v>
                </c:pt>
                <c:pt idx="25">
                  <c:v>건강/이너뷰티</c:v>
                </c:pt>
                <c:pt idx="26">
                  <c:v>수축산/계란</c:v>
                </c:pt>
                <c:pt idx="27">
                  <c:v>비스킷류</c:v>
                </c:pt>
                <c:pt idx="28">
                  <c:v>무알콜맥주</c:v>
                </c:pt>
                <c:pt idx="29">
                  <c:v>즉석치킨</c:v>
                </c:pt>
                <c:pt idx="30">
                  <c:v>초콜릿</c:v>
                </c:pt>
                <c:pt idx="31">
                  <c:v>쌀/잡곡</c:v>
                </c:pt>
                <c:pt idx="32">
                  <c:v>캔</c:v>
                </c:pt>
                <c:pt idx="33">
                  <c:v>신선냉동</c:v>
                </c:pt>
                <c:pt idx="34">
                  <c:v>기능성드링크</c:v>
                </c:pt>
                <c:pt idx="35">
                  <c:v>소스류</c:v>
                </c:pt>
                <c:pt idx="36">
                  <c:v>냉동간편식</c:v>
                </c:pt>
                <c:pt idx="37">
                  <c:v>떡</c:v>
                </c:pt>
                <c:pt idx="38">
                  <c:v>숙취해소제</c:v>
                </c:pt>
                <c:pt idx="39">
                  <c:v>젤리류</c:v>
                </c:pt>
                <c:pt idx="40">
                  <c:v>파우치</c:v>
                </c:pt>
                <c:pt idx="41">
                  <c:v>탄산음료</c:v>
                </c:pt>
                <c:pt idx="42">
                  <c:v>과일</c:v>
                </c:pt>
                <c:pt idx="43">
                  <c:v>샌드위치</c:v>
                </c:pt>
                <c:pt idx="44">
                  <c:v>선물세트</c:v>
                </c:pt>
                <c:pt idx="45">
                  <c:v>스낵류</c:v>
                </c:pt>
                <c:pt idx="46">
                  <c:v>리쿼</c:v>
                </c:pt>
                <c:pt idx="47">
                  <c:v>장류</c:v>
                </c:pt>
                <c:pt idx="48">
                  <c:v>즉석조리</c:v>
                </c:pt>
                <c:pt idx="49">
                  <c:v>용기면</c:v>
                </c:pt>
                <c:pt idx="50">
                  <c:v>껌</c:v>
                </c:pt>
                <c:pt idx="51">
                  <c:v>간식빵</c:v>
                </c:pt>
                <c:pt idx="52">
                  <c:v>프로틴 음료</c:v>
                </c:pt>
                <c:pt idx="53">
                  <c:v>선물세트 </c:v>
                </c:pt>
                <c:pt idx="54">
                  <c:v>가공우유</c:v>
                </c:pt>
                <c:pt idx="55">
                  <c:v>조리냉동</c:v>
                </c:pt>
                <c:pt idx="56">
                  <c:v>푸드 간편식</c:v>
                </c:pt>
                <c:pt idx="57">
                  <c:v>냉장베이커리</c:v>
                </c:pt>
                <c:pt idx="58">
                  <c:v>컵커피</c:v>
                </c:pt>
                <c:pt idx="59">
                  <c:v>주스</c:v>
                </c:pt>
                <c:pt idx="60">
                  <c:v>냉동만두</c:v>
                </c:pt>
                <c:pt idx="61">
                  <c:v>육포</c:v>
                </c:pt>
                <c:pt idx="62">
                  <c:v>오징어</c:v>
                </c:pt>
                <c:pt idx="63">
                  <c:v>냉장주스</c:v>
                </c:pt>
                <c:pt idx="64">
                  <c:v>냉장안주</c:v>
                </c:pt>
                <c:pt idx="65">
                  <c:v>프로틴/시리얼</c:v>
                </c:pt>
                <c:pt idx="66">
                  <c:v>요구르트</c:v>
                </c:pt>
                <c:pt idx="67">
                  <c:v>생선류</c:v>
                </c:pt>
                <c:pt idx="68">
                  <c:v>기능성우유</c:v>
                </c:pt>
                <c:pt idx="69">
                  <c:v>스낵안주</c:v>
                </c:pt>
                <c:pt idx="70">
                  <c:v>햄버거</c:v>
                </c:pt>
                <c:pt idx="71">
                  <c:v>가공미반류</c:v>
                </c:pt>
                <c:pt idx="72">
                  <c:v>호빵</c:v>
                </c:pt>
                <c:pt idx="73">
                  <c:v>젤리</c:v>
                </c:pt>
                <c:pt idx="74">
                  <c:v>쨈/꿀</c:v>
                </c:pt>
                <c:pt idx="75">
                  <c:v>샐러드 </c:v>
                </c:pt>
                <c:pt idx="76">
                  <c:v>샐러드모닝랩</c:v>
                </c:pt>
                <c:pt idx="77">
                  <c:v>식용유지</c:v>
                </c:pt>
                <c:pt idx="78">
                  <c:v>냉장간식</c:v>
                </c:pt>
                <c:pt idx="79">
                  <c:v>두유</c:v>
                </c:pt>
                <c:pt idx="80">
                  <c:v>농산안주</c:v>
                </c:pt>
                <c:pt idx="81">
                  <c:v>구움과자</c:v>
                </c:pt>
                <c:pt idx="82">
                  <c:v>삼각김밥</c:v>
                </c:pt>
                <c:pt idx="83">
                  <c:v>식빵</c:v>
                </c:pt>
                <c:pt idx="84">
                  <c:v>초밥류</c:v>
                </c:pt>
                <c:pt idx="85">
                  <c:v>차음료</c:v>
                </c:pt>
                <c:pt idx="86">
                  <c:v>냉장피자</c:v>
                </c:pt>
                <c:pt idx="87">
                  <c:v>김밥</c:v>
                </c:pt>
                <c:pt idx="88">
                  <c:v>흰우유</c:v>
                </c:pt>
                <c:pt idx="89">
                  <c:v>유제품</c:v>
                </c:pt>
              </c:strCache>
            </c:strRef>
          </c:cat>
          <c:val>
            <c:numRef>
              <c:f>분포분석_파레토!$N$2:$N$91</c:f>
              <c:numCache>
                <c:formatCode>0.00</c:formatCode>
                <c:ptCount val="90"/>
                <c:pt idx="0">
                  <c:v>666.80368750000002</c:v>
                </c:pt>
                <c:pt idx="1">
                  <c:v>113.368134615385</c:v>
                </c:pt>
                <c:pt idx="2">
                  <c:v>54.555831117021299</c:v>
                </c:pt>
                <c:pt idx="3">
                  <c:v>20.046182955488</c:v>
                </c:pt>
                <c:pt idx="4">
                  <c:v>19.2178709799351</c:v>
                </c:pt>
                <c:pt idx="5">
                  <c:v>15.2772530241936</c:v>
                </c:pt>
                <c:pt idx="6">
                  <c:v>14.473232717803</c:v>
                </c:pt>
                <c:pt idx="7">
                  <c:v>9.7685386618589707</c:v>
                </c:pt>
                <c:pt idx="8">
                  <c:v>8.80523042929293</c:v>
                </c:pt>
                <c:pt idx="9">
                  <c:v>8.7145961538461503</c:v>
                </c:pt>
                <c:pt idx="10">
                  <c:v>8.1231784968684799</c:v>
                </c:pt>
                <c:pt idx="11">
                  <c:v>8.0349517659537906</c:v>
                </c:pt>
                <c:pt idx="12">
                  <c:v>6.3624647092038398</c:v>
                </c:pt>
                <c:pt idx="13">
                  <c:v>4.8872474032105799</c:v>
                </c:pt>
                <c:pt idx="14">
                  <c:v>4.50851093124166</c:v>
                </c:pt>
                <c:pt idx="15">
                  <c:v>4.2809774847225404</c:v>
                </c:pt>
                <c:pt idx="16">
                  <c:v>4.2524257812500004</c:v>
                </c:pt>
                <c:pt idx="17">
                  <c:v>4.2429631076388903</c:v>
                </c:pt>
                <c:pt idx="18">
                  <c:v>4.1076973470052103</c:v>
                </c:pt>
                <c:pt idx="19">
                  <c:v>4.02202160819051</c:v>
                </c:pt>
                <c:pt idx="20">
                  <c:v>3.66569568704515</c:v>
                </c:pt>
                <c:pt idx="21">
                  <c:v>3.3555986211197402</c:v>
                </c:pt>
                <c:pt idx="22">
                  <c:v>3.2390884467881098</c:v>
                </c:pt>
                <c:pt idx="23">
                  <c:v>3.1090988754198898</c:v>
                </c:pt>
                <c:pt idx="24">
                  <c:v>3.0071871121316902</c:v>
                </c:pt>
                <c:pt idx="25">
                  <c:v>2.9580950830172701</c:v>
                </c:pt>
                <c:pt idx="26">
                  <c:v>2.8497325828853</c:v>
                </c:pt>
                <c:pt idx="27">
                  <c:v>2.8226125211482</c:v>
                </c:pt>
                <c:pt idx="28">
                  <c:v>2.7366949804250602</c:v>
                </c:pt>
                <c:pt idx="29">
                  <c:v>2.7330201867847301</c:v>
                </c:pt>
                <c:pt idx="30">
                  <c:v>2.5863330050203399</c:v>
                </c:pt>
                <c:pt idx="31">
                  <c:v>2.5369387755102002</c:v>
                </c:pt>
                <c:pt idx="32">
                  <c:v>2.5011440104166698</c:v>
                </c:pt>
                <c:pt idx="33">
                  <c:v>2.4716553091201399</c:v>
                </c:pt>
                <c:pt idx="34">
                  <c:v>2.3953879450193001</c:v>
                </c:pt>
                <c:pt idx="35">
                  <c:v>2.2362364366319398</c:v>
                </c:pt>
                <c:pt idx="36">
                  <c:v>2.12101929273995</c:v>
                </c:pt>
                <c:pt idx="37">
                  <c:v>2.0645588822706999</c:v>
                </c:pt>
                <c:pt idx="38">
                  <c:v>2.0470334548173099</c:v>
                </c:pt>
                <c:pt idx="39">
                  <c:v>2.0165464482809998</c:v>
                </c:pt>
                <c:pt idx="40">
                  <c:v>1.9835080552895401</c:v>
                </c:pt>
                <c:pt idx="41">
                  <c:v>1.8940466180754401</c:v>
                </c:pt>
                <c:pt idx="42">
                  <c:v>1.8913374867444299</c:v>
                </c:pt>
                <c:pt idx="43">
                  <c:v>1.7263828858799299</c:v>
                </c:pt>
                <c:pt idx="44">
                  <c:v>1.7098013221153801</c:v>
                </c:pt>
                <c:pt idx="45">
                  <c:v>1.7080111033707399</c:v>
                </c:pt>
                <c:pt idx="46">
                  <c:v>1.65860683829879</c:v>
                </c:pt>
                <c:pt idx="47">
                  <c:v>1.6578231624681099</c:v>
                </c:pt>
                <c:pt idx="48">
                  <c:v>1.5791555212620001</c:v>
                </c:pt>
                <c:pt idx="49">
                  <c:v>1.56675279183847</c:v>
                </c:pt>
                <c:pt idx="50">
                  <c:v>1.50299893021992</c:v>
                </c:pt>
                <c:pt idx="51">
                  <c:v>1.50058859634847</c:v>
                </c:pt>
                <c:pt idx="52">
                  <c:v>1.4546876462718701</c:v>
                </c:pt>
                <c:pt idx="53">
                  <c:v>1.4210252808988799</c:v>
                </c:pt>
                <c:pt idx="54">
                  <c:v>1.4136933716289899</c:v>
                </c:pt>
                <c:pt idx="55">
                  <c:v>1.4101592116066599</c:v>
                </c:pt>
                <c:pt idx="56">
                  <c:v>1.3887255558531999</c:v>
                </c:pt>
                <c:pt idx="57">
                  <c:v>1.3659019515031701</c:v>
                </c:pt>
                <c:pt idx="58">
                  <c:v>1.3477532410541</c:v>
                </c:pt>
                <c:pt idx="59">
                  <c:v>1.3379369446967599</c:v>
                </c:pt>
                <c:pt idx="60">
                  <c:v>1.2487836753563399</c:v>
                </c:pt>
                <c:pt idx="61">
                  <c:v>1.23455912392728</c:v>
                </c:pt>
                <c:pt idx="62">
                  <c:v>1.22114745036603</c:v>
                </c:pt>
                <c:pt idx="63">
                  <c:v>1.2059999590455199</c:v>
                </c:pt>
                <c:pt idx="64">
                  <c:v>1.19558238929775</c:v>
                </c:pt>
                <c:pt idx="65">
                  <c:v>1.1898759262556999</c:v>
                </c:pt>
                <c:pt idx="66">
                  <c:v>1.1875543520726299</c:v>
                </c:pt>
                <c:pt idx="67">
                  <c:v>1.1843233524999599</c:v>
                </c:pt>
                <c:pt idx="68">
                  <c:v>1.16083043447167</c:v>
                </c:pt>
                <c:pt idx="69">
                  <c:v>1.1583182421385301</c:v>
                </c:pt>
                <c:pt idx="70">
                  <c:v>1.12617208161483</c:v>
                </c:pt>
                <c:pt idx="71">
                  <c:v>1.11416303017531</c:v>
                </c:pt>
                <c:pt idx="72">
                  <c:v>1.0946805813228899</c:v>
                </c:pt>
                <c:pt idx="73">
                  <c:v>1.0920115796584</c:v>
                </c:pt>
                <c:pt idx="74">
                  <c:v>1.0834755946429899</c:v>
                </c:pt>
                <c:pt idx="75">
                  <c:v>1.08339348091202</c:v>
                </c:pt>
                <c:pt idx="76">
                  <c:v>1.0612252265261199</c:v>
                </c:pt>
                <c:pt idx="77">
                  <c:v>1.0599104143337099</c:v>
                </c:pt>
                <c:pt idx="78">
                  <c:v>1.0313739677004601</c:v>
                </c:pt>
                <c:pt idx="79">
                  <c:v>0.99496639271593901</c:v>
                </c:pt>
                <c:pt idx="80">
                  <c:v>0.99170164534360805</c:v>
                </c:pt>
                <c:pt idx="81">
                  <c:v>0.98761307844845603</c:v>
                </c:pt>
                <c:pt idx="82">
                  <c:v>0.98211490879007501</c:v>
                </c:pt>
                <c:pt idx="83">
                  <c:v>0.97076890060492904</c:v>
                </c:pt>
                <c:pt idx="84">
                  <c:v>0.97003366192198603</c:v>
                </c:pt>
                <c:pt idx="85">
                  <c:v>0.95321186424190496</c:v>
                </c:pt>
                <c:pt idx="86">
                  <c:v>0.94865646790640401</c:v>
                </c:pt>
                <c:pt idx="87">
                  <c:v>0.94320307626831901</c:v>
                </c:pt>
                <c:pt idx="88">
                  <c:v>0.88931511645721595</c:v>
                </c:pt>
                <c:pt idx="89">
                  <c:v>0.88422972756565998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B-4462-8AFB-D5E116E94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314143"/>
        <c:axId val="2139937359"/>
      </c:barChart>
      <c:lineChart>
        <c:grouping val="standard"/>
        <c:varyColors val="0"/>
        <c:ser>
          <c:idx val="1"/>
          <c:order val="1"/>
          <c:tx>
            <c:strRef>
              <c:f>분포분석_파레토!$O$1</c:f>
              <c:strCache>
                <c:ptCount val="1"/>
                <c:pt idx="0">
                  <c:v>IQR1.5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분포분석_파레토!$M$2:$M$91</c:f>
              <c:strCache>
                <c:ptCount val="90"/>
                <c:pt idx="0">
                  <c:v>스포츠음료</c:v>
                </c:pt>
                <c:pt idx="1">
                  <c:v>생수</c:v>
                </c:pt>
                <c:pt idx="2">
                  <c:v>미분류</c:v>
                </c:pt>
                <c:pt idx="3">
                  <c:v>고급</c:v>
                </c:pt>
                <c:pt idx="4">
                  <c:v>수입맥주</c:v>
                </c:pt>
                <c:pt idx="5">
                  <c:v>차</c:v>
                </c:pt>
                <c:pt idx="6">
                  <c:v>원컵</c:v>
                </c:pt>
                <c:pt idx="7">
                  <c:v>홈타입</c:v>
                </c:pt>
                <c:pt idx="8">
                  <c:v>시즌케익</c:v>
                </c:pt>
                <c:pt idx="9">
                  <c:v>막걸리</c:v>
                </c:pt>
                <c:pt idx="10">
                  <c:v>양주</c:v>
                </c:pt>
                <c:pt idx="11">
                  <c:v>컨셉카페</c:v>
                </c:pt>
                <c:pt idx="12">
                  <c:v>야채</c:v>
                </c:pt>
                <c:pt idx="13">
                  <c:v>봉지면</c:v>
                </c:pt>
                <c:pt idx="14">
                  <c:v>냉장간편식</c:v>
                </c:pt>
                <c:pt idx="15">
                  <c:v>너트류</c:v>
                </c:pt>
                <c:pt idx="16">
                  <c:v>조미료</c:v>
                </c:pt>
                <c:pt idx="17">
                  <c:v>소주</c:v>
                </c:pt>
                <c:pt idx="18">
                  <c:v>커피</c:v>
                </c:pt>
                <c:pt idx="19">
                  <c:v>상온간편식</c:v>
                </c:pt>
                <c:pt idx="20">
                  <c:v>전통음료</c:v>
                </c:pt>
                <c:pt idx="21">
                  <c:v>도시락</c:v>
                </c:pt>
                <c:pt idx="22">
                  <c:v>하이볼</c:v>
                </c:pt>
                <c:pt idx="23">
                  <c:v>건해산물</c:v>
                </c:pt>
                <c:pt idx="24">
                  <c:v>커피음료</c:v>
                </c:pt>
                <c:pt idx="25">
                  <c:v>건강/이너뷰티</c:v>
                </c:pt>
                <c:pt idx="26">
                  <c:v>수축산/계란</c:v>
                </c:pt>
                <c:pt idx="27">
                  <c:v>비스킷류</c:v>
                </c:pt>
                <c:pt idx="28">
                  <c:v>무알콜맥주</c:v>
                </c:pt>
                <c:pt idx="29">
                  <c:v>즉석치킨</c:v>
                </c:pt>
                <c:pt idx="30">
                  <c:v>초콜릿</c:v>
                </c:pt>
                <c:pt idx="31">
                  <c:v>쌀/잡곡</c:v>
                </c:pt>
                <c:pt idx="32">
                  <c:v>캔</c:v>
                </c:pt>
                <c:pt idx="33">
                  <c:v>신선냉동</c:v>
                </c:pt>
                <c:pt idx="34">
                  <c:v>기능성드링크</c:v>
                </c:pt>
                <c:pt idx="35">
                  <c:v>소스류</c:v>
                </c:pt>
                <c:pt idx="36">
                  <c:v>냉동간편식</c:v>
                </c:pt>
                <c:pt idx="37">
                  <c:v>떡</c:v>
                </c:pt>
                <c:pt idx="38">
                  <c:v>숙취해소제</c:v>
                </c:pt>
                <c:pt idx="39">
                  <c:v>젤리류</c:v>
                </c:pt>
                <c:pt idx="40">
                  <c:v>파우치</c:v>
                </c:pt>
                <c:pt idx="41">
                  <c:v>탄산음료</c:v>
                </c:pt>
                <c:pt idx="42">
                  <c:v>과일</c:v>
                </c:pt>
                <c:pt idx="43">
                  <c:v>샌드위치</c:v>
                </c:pt>
                <c:pt idx="44">
                  <c:v>선물세트</c:v>
                </c:pt>
                <c:pt idx="45">
                  <c:v>스낵류</c:v>
                </c:pt>
                <c:pt idx="46">
                  <c:v>리쿼</c:v>
                </c:pt>
                <c:pt idx="47">
                  <c:v>장류</c:v>
                </c:pt>
                <c:pt idx="48">
                  <c:v>즉석조리</c:v>
                </c:pt>
                <c:pt idx="49">
                  <c:v>용기면</c:v>
                </c:pt>
                <c:pt idx="50">
                  <c:v>껌</c:v>
                </c:pt>
                <c:pt idx="51">
                  <c:v>간식빵</c:v>
                </c:pt>
                <c:pt idx="52">
                  <c:v>프로틴 음료</c:v>
                </c:pt>
                <c:pt idx="53">
                  <c:v>선물세트 </c:v>
                </c:pt>
                <c:pt idx="54">
                  <c:v>가공우유</c:v>
                </c:pt>
                <c:pt idx="55">
                  <c:v>조리냉동</c:v>
                </c:pt>
                <c:pt idx="56">
                  <c:v>푸드 간편식</c:v>
                </c:pt>
                <c:pt idx="57">
                  <c:v>냉장베이커리</c:v>
                </c:pt>
                <c:pt idx="58">
                  <c:v>컵커피</c:v>
                </c:pt>
                <c:pt idx="59">
                  <c:v>주스</c:v>
                </c:pt>
                <c:pt idx="60">
                  <c:v>냉동만두</c:v>
                </c:pt>
                <c:pt idx="61">
                  <c:v>육포</c:v>
                </c:pt>
                <c:pt idx="62">
                  <c:v>오징어</c:v>
                </c:pt>
                <c:pt idx="63">
                  <c:v>냉장주스</c:v>
                </c:pt>
                <c:pt idx="64">
                  <c:v>냉장안주</c:v>
                </c:pt>
                <c:pt idx="65">
                  <c:v>프로틴/시리얼</c:v>
                </c:pt>
                <c:pt idx="66">
                  <c:v>요구르트</c:v>
                </c:pt>
                <c:pt idx="67">
                  <c:v>생선류</c:v>
                </c:pt>
                <c:pt idx="68">
                  <c:v>기능성우유</c:v>
                </c:pt>
                <c:pt idx="69">
                  <c:v>스낵안주</c:v>
                </c:pt>
                <c:pt idx="70">
                  <c:v>햄버거</c:v>
                </c:pt>
                <c:pt idx="71">
                  <c:v>가공미반류</c:v>
                </c:pt>
                <c:pt idx="72">
                  <c:v>호빵</c:v>
                </c:pt>
                <c:pt idx="73">
                  <c:v>젤리</c:v>
                </c:pt>
                <c:pt idx="74">
                  <c:v>쨈/꿀</c:v>
                </c:pt>
                <c:pt idx="75">
                  <c:v>샐러드 </c:v>
                </c:pt>
                <c:pt idx="76">
                  <c:v>샐러드모닝랩</c:v>
                </c:pt>
                <c:pt idx="77">
                  <c:v>식용유지</c:v>
                </c:pt>
                <c:pt idx="78">
                  <c:v>냉장간식</c:v>
                </c:pt>
                <c:pt idx="79">
                  <c:v>두유</c:v>
                </c:pt>
                <c:pt idx="80">
                  <c:v>농산안주</c:v>
                </c:pt>
                <c:pt idx="81">
                  <c:v>구움과자</c:v>
                </c:pt>
                <c:pt idx="82">
                  <c:v>삼각김밥</c:v>
                </c:pt>
                <c:pt idx="83">
                  <c:v>식빵</c:v>
                </c:pt>
                <c:pt idx="84">
                  <c:v>초밥류</c:v>
                </c:pt>
                <c:pt idx="85">
                  <c:v>차음료</c:v>
                </c:pt>
                <c:pt idx="86">
                  <c:v>냉장피자</c:v>
                </c:pt>
                <c:pt idx="87">
                  <c:v>김밥</c:v>
                </c:pt>
                <c:pt idx="88">
                  <c:v>흰우유</c:v>
                </c:pt>
                <c:pt idx="89">
                  <c:v>유제품</c:v>
                </c:pt>
              </c:strCache>
            </c:strRef>
          </c:cat>
          <c:val>
            <c:numRef>
              <c:f>분포분석_파레토!$O$2:$O$91</c:f>
              <c:numCache>
                <c:formatCode>0.00</c:formatCode>
                <c:ptCount val="90"/>
                <c:pt idx="0">
                  <c:v>6.2388000000000003</c:v>
                </c:pt>
                <c:pt idx="1">
                  <c:v>6.2388000000000003</c:v>
                </c:pt>
                <c:pt idx="2">
                  <c:v>6.2388000000000003</c:v>
                </c:pt>
                <c:pt idx="3">
                  <c:v>6.2388000000000003</c:v>
                </c:pt>
                <c:pt idx="4">
                  <c:v>6.2388000000000003</c:v>
                </c:pt>
                <c:pt idx="5">
                  <c:v>6.2388000000000003</c:v>
                </c:pt>
                <c:pt idx="6">
                  <c:v>6.2388000000000003</c:v>
                </c:pt>
                <c:pt idx="7">
                  <c:v>6.2388000000000003</c:v>
                </c:pt>
                <c:pt idx="8">
                  <c:v>6.2388000000000003</c:v>
                </c:pt>
                <c:pt idx="9">
                  <c:v>6.2388000000000003</c:v>
                </c:pt>
                <c:pt idx="10">
                  <c:v>6.2388000000000003</c:v>
                </c:pt>
                <c:pt idx="11">
                  <c:v>6.2388000000000003</c:v>
                </c:pt>
                <c:pt idx="12">
                  <c:v>6.2388000000000003</c:v>
                </c:pt>
                <c:pt idx="13">
                  <c:v>6.2388000000000003</c:v>
                </c:pt>
                <c:pt idx="14">
                  <c:v>6.2388000000000003</c:v>
                </c:pt>
                <c:pt idx="15">
                  <c:v>6.2388000000000003</c:v>
                </c:pt>
                <c:pt idx="16">
                  <c:v>6.2388000000000003</c:v>
                </c:pt>
                <c:pt idx="17">
                  <c:v>6.2388000000000003</c:v>
                </c:pt>
                <c:pt idx="18">
                  <c:v>6.2388000000000003</c:v>
                </c:pt>
                <c:pt idx="19">
                  <c:v>6.2388000000000003</c:v>
                </c:pt>
                <c:pt idx="20">
                  <c:v>6.2388000000000003</c:v>
                </c:pt>
                <c:pt idx="21">
                  <c:v>6.2388000000000003</c:v>
                </c:pt>
                <c:pt idx="22">
                  <c:v>6.2388000000000003</c:v>
                </c:pt>
                <c:pt idx="23">
                  <c:v>6.2388000000000003</c:v>
                </c:pt>
                <c:pt idx="24">
                  <c:v>6.2388000000000003</c:v>
                </c:pt>
                <c:pt idx="25">
                  <c:v>6.2388000000000003</c:v>
                </c:pt>
                <c:pt idx="26">
                  <c:v>6.2388000000000003</c:v>
                </c:pt>
                <c:pt idx="27">
                  <c:v>6.2388000000000003</c:v>
                </c:pt>
                <c:pt idx="28">
                  <c:v>6.2388000000000003</c:v>
                </c:pt>
                <c:pt idx="29">
                  <c:v>6.2388000000000003</c:v>
                </c:pt>
                <c:pt idx="30">
                  <c:v>6.2388000000000003</c:v>
                </c:pt>
                <c:pt idx="31">
                  <c:v>6.2388000000000003</c:v>
                </c:pt>
                <c:pt idx="32">
                  <c:v>6.2388000000000003</c:v>
                </c:pt>
                <c:pt idx="33">
                  <c:v>6.2388000000000003</c:v>
                </c:pt>
                <c:pt idx="34">
                  <c:v>6.2388000000000003</c:v>
                </c:pt>
                <c:pt idx="35">
                  <c:v>6.2388000000000003</c:v>
                </c:pt>
                <c:pt idx="36">
                  <c:v>6.2388000000000003</c:v>
                </c:pt>
                <c:pt idx="37">
                  <c:v>6.2388000000000003</c:v>
                </c:pt>
                <c:pt idx="38">
                  <c:v>6.2388000000000003</c:v>
                </c:pt>
                <c:pt idx="39">
                  <c:v>6.2388000000000003</c:v>
                </c:pt>
                <c:pt idx="40">
                  <c:v>6.2388000000000003</c:v>
                </c:pt>
                <c:pt idx="41">
                  <c:v>6.2388000000000003</c:v>
                </c:pt>
                <c:pt idx="42">
                  <c:v>6.2388000000000003</c:v>
                </c:pt>
                <c:pt idx="43">
                  <c:v>6.2388000000000003</c:v>
                </c:pt>
                <c:pt idx="44">
                  <c:v>6.2388000000000003</c:v>
                </c:pt>
                <c:pt idx="45">
                  <c:v>6.2388000000000003</c:v>
                </c:pt>
                <c:pt idx="46">
                  <c:v>6.2388000000000003</c:v>
                </c:pt>
                <c:pt idx="47">
                  <c:v>6.2388000000000003</c:v>
                </c:pt>
                <c:pt idx="48">
                  <c:v>6.2388000000000003</c:v>
                </c:pt>
                <c:pt idx="49">
                  <c:v>6.2388000000000003</c:v>
                </c:pt>
                <c:pt idx="50">
                  <c:v>6.2388000000000003</c:v>
                </c:pt>
                <c:pt idx="51">
                  <c:v>6.2388000000000003</c:v>
                </c:pt>
                <c:pt idx="52">
                  <c:v>6.2388000000000003</c:v>
                </c:pt>
                <c:pt idx="53">
                  <c:v>6.2388000000000003</c:v>
                </c:pt>
                <c:pt idx="54">
                  <c:v>6.2388000000000003</c:v>
                </c:pt>
                <c:pt idx="55">
                  <c:v>6.2388000000000003</c:v>
                </c:pt>
                <c:pt idx="56">
                  <c:v>6.2388000000000003</c:v>
                </c:pt>
                <c:pt idx="57">
                  <c:v>6.2388000000000003</c:v>
                </c:pt>
                <c:pt idx="58">
                  <c:v>6.2388000000000003</c:v>
                </c:pt>
                <c:pt idx="59">
                  <c:v>6.2388000000000003</c:v>
                </c:pt>
                <c:pt idx="60">
                  <c:v>6.2388000000000003</c:v>
                </c:pt>
                <c:pt idx="61">
                  <c:v>6.2388000000000003</c:v>
                </c:pt>
                <c:pt idx="62">
                  <c:v>6.2388000000000003</c:v>
                </c:pt>
                <c:pt idx="63">
                  <c:v>6.2388000000000003</c:v>
                </c:pt>
                <c:pt idx="64">
                  <c:v>6.2388000000000003</c:v>
                </c:pt>
                <c:pt idx="65">
                  <c:v>6.2388000000000003</c:v>
                </c:pt>
                <c:pt idx="66">
                  <c:v>6.2388000000000003</c:v>
                </c:pt>
                <c:pt idx="67">
                  <c:v>6.2388000000000003</c:v>
                </c:pt>
                <c:pt idx="68">
                  <c:v>6.2388000000000003</c:v>
                </c:pt>
                <c:pt idx="69">
                  <c:v>6.2388000000000003</c:v>
                </c:pt>
                <c:pt idx="70">
                  <c:v>6.2388000000000003</c:v>
                </c:pt>
                <c:pt idx="71">
                  <c:v>6.2388000000000003</c:v>
                </c:pt>
                <c:pt idx="72">
                  <c:v>6.2388000000000003</c:v>
                </c:pt>
                <c:pt idx="73">
                  <c:v>6.2388000000000003</c:v>
                </c:pt>
                <c:pt idx="74">
                  <c:v>6.2388000000000003</c:v>
                </c:pt>
                <c:pt idx="75">
                  <c:v>6.2388000000000003</c:v>
                </c:pt>
                <c:pt idx="76">
                  <c:v>6.2388000000000003</c:v>
                </c:pt>
                <c:pt idx="77">
                  <c:v>6.2388000000000003</c:v>
                </c:pt>
                <c:pt idx="78">
                  <c:v>6.2388000000000003</c:v>
                </c:pt>
                <c:pt idx="79">
                  <c:v>6.2388000000000003</c:v>
                </c:pt>
                <c:pt idx="80">
                  <c:v>6.2388000000000003</c:v>
                </c:pt>
                <c:pt idx="81">
                  <c:v>6.2388000000000003</c:v>
                </c:pt>
                <c:pt idx="82">
                  <c:v>6.2388000000000003</c:v>
                </c:pt>
                <c:pt idx="83">
                  <c:v>6.2388000000000003</c:v>
                </c:pt>
                <c:pt idx="84">
                  <c:v>6.2388000000000003</c:v>
                </c:pt>
                <c:pt idx="85">
                  <c:v>6.2388000000000003</c:v>
                </c:pt>
                <c:pt idx="86">
                  <c:v>6.2388000000000003</c:v>
                </c:pt>
                <c:pt idx="87">
                  <c:v>6.2388000000000003</c:v>
                </c:pt>
                <c:pt idx="88">
                  <c:v>6.2388000000000003</c:v>
                </c:pt>
                <c:pt idx="89">
                  <c:v>6.2388000000000003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B-4462-8AFB-D5E116E94541}"/>
            </c:ext>
          </c:extLst>
        </c:ser>
        <c:ser>
          <c:idx val="2"/>
          <c:order val="2"/>
          <c:tx>
            <c:strRef>
              <c:f>분포분석_파레토!$P$1</c:f>
              <c:strCache>
                <c:ptCount val="1"/>
                <c:pt idx="0">
                  <c:v>IQR3.0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분포분석_파레토!$M$2:$M$91</c:f>
              <c:strCache>
                <c:ptCount val="90"/>
                <c:pt idx="0">
                  <c:v>스포츠음료</c:v>
                </c:pt>
                <c:pt idx="1">
                  <c:v>생수</c:v>
                </c:pt>
                <c:pt idx="2">
                  <c:v>미분류</c:v>
                </c:pt>
                <c:pt idx="3">
                  <c:v>고급</c:v>
                </c:pt>
                <c:pt idx="4">
                  <c:v>수입맥주</c:v>
                </c:pt>
                <c:pt idx="5">
                  <c:v>차</c:v>
                </c:pt>
                <c:pt idx="6">
                  <c:v>원컵</c:v>
                </c:pt>
                <c:pt idx="7">
                  <c:v>홈타입</c:v>
                </c:pt>
                <c:pt idx="8">
                  <c:v>시즌케익</c:v>
                </c:pt>
                <c:pt idx="9">
                  <c:v>막걸리</c:v>
                </c:pt>
                <c:pt idx="10">
                  <c:v>양주</c:v>
                </c:pt>
                <c:pt idx="11">
                  <c:v>컨셉카페</c:v>
                </c:pt>
                <c:pt idx="12">
                  <c:v>야채</c:v>
                </c:pt>
                <c:pt idx="13">
                  <c:v>봉지면</c:v>
                </c:pt>
                <c:pt idx="14">
                  <c:v>냉장간편식</c:v>
                </c:pt>
                <c:pt idx="15">
                  <c:v>너트류</c:v>
                </c:pt>
                <c:pt idx="16">
                  <c:v>조미료</c:v>
                </c:pt>
                <c:pt idx="17">
                  <c:v>소주</c:v>
                </c:pt>
                <c:pt idx="18">
                  <c:v>커피</c:v>
                </c:pt>
                <c:pt idx="19">
                  <c:v>상온간편식</c:v>
                </c:pt>
                <c:pt idx="20">
                  <c:v>전통음료</c:v>
                </c:pt>
                <c:pt idx="21">
                  <c:v>도시락</c:v>
                </c:pt>
                <c:pt idx="22">
                  <c:v>하이볼</c:v>
                </c:pt>
                <c:pt idx="23">
                  <c:v>건해산물</c:v>
                </c:pt>
                <c:pt idx="24">
                  <c:v>커피음료</c:v>
                </c:pt>
                <c:pt idx="25">
                  <c:v>건강/이너뷰티</c:v>
                </c:pt>
                <c:pt idx="26">
                  <c:v>수축산/계란</c:v>
                </c:pt>
                <c:pt idx="27">
                  <c:v>비스킷류</c:v>
                </c:pt>
                <c:pt idx="28">
                  <c:v>무알콜맥주</c:v>
                </c:pt>
                <c:pt idx="29">
                  <c:v>즉석치킨</c:v>
                </c:pt>
                <c:pt idx="30">
                  <c:v>초콜릿</c:v>
                </c:pt>
                <c:pt idx="31">
                  <c:v>쌀/잡곡</c:v>
                </c:pt>
                <c:pt idx="32">
                  <c:v>캔</c:v>
                </c:pt>
                <c:pt idx="33">
                  <c:v>신선냉동</c:v>
                </c:pt>
                <c:pt idx="34">
                  <c:v>기능성드링크</c:v>
                </c:pt>
                <c:pt idx="35">
                  <c:v>소스류</c:v>
                </c:pt>
                <c:pt idx="36">
                  <c:v>냉동간편식</c:v>
                </c:pt>
                <c:pt idx="37">
                  <c:v>떡</c:v>
                </c:pt>
                <c:pt idx="38">
                  <c:v>숙취해소제</c:v>
                </c:pt>
                <c:pt idx="39">
                  <c:v>젤리류</c:v>
                </c:pt>
                <c:pt idx="40">
                  <c:v>파우치</c:v>
                </c:pt>
                <c:pt idx="41">
                  <c:v>탄산음료</c:v>
                </c:pt>
                <c:pt idx="42">
                  <c:v>과일</c:v>
                </c:pt>
                <c:pt idx="43">
                  <c:v>샌드위치</c:v>
                </c:pt>
                <c:pt idx="44">
                  <c:v>선물세트</c:v>
                </c:pt>
                <c:pt idx="45">
                  <c:v>스낵류</c:v>
                </c:pt>
                <c:pt idx="46">
                  <c:v>리쿼</c:v>
                </c:pt>
                <c:pt idx="47">
                  <c:v>장류</c:v>
                </c:pt>
                <c:pt idx="48">
                  <c:v>즉석조리</c:v>
                </c:pt>
                <c:pt idx="49">
                  <c:v>용기면</c:v>
                </c:pt>
                <c:pt idx="50">
                  <c:v>껌</c:v>
                </c:pt>
                <c:pt idx="51">
                  <c:v>간식빵</c:v>
                </c:pt>
                <c:pt idx="52">
                  <c:v>프로틴 음료</c:v>
                </c:pt>
                <c:pt idx="53">
                  <c:v>선물세트 </c:v>
                </c:pt>
                <c:pt idx="54">
                  <c:v>가공우유</c:v>
                </c:pt>
                <c:pt idx="55">
                  <c:v>조리냉동</c:v>
                </c:pt>
                <c:pt idx="56">
                  <c:v>푸드 간편식</c:v>
                </c:pt>
                <c:pt idx="57">
                  <c:v>냉장베이커리</c:v>
                </c:pt>
                <c:pt idx="58">
                  <c:v>컵커피</c:v>
                </c:pt>
                <c:pt idx="59">
                  <c:v>주스</c:v>
                </c:pt>
                <c:pt idx="60">
                  <c:v>냉동만두</c:v>
                </c:pt>
                <c:pt idx="61">
                  <c:v>육포</c:v>
                </c:pt>
                <c:pt idx="62">
                  <c:v>오징어</c:v>
                </c:pt>
                <c:pt idx="63">
                  <c:v>냉장주스</c:v>
                </c:pt>
                <c:pt idx="64">
                  <c:v>냉장안주</c:v>
                </c:pt>
                <c:pt idx="65">
                  <c:v>프로틴/시리얼</c:v>
                </c:pt>
                <c:pt idx="66">
                  <c:v>요구르트</c:v>
                </c:pt>
                <c:pt idx="67">
                  <c:v>생선류</c:v>
                </c:pt>
                <c:pt idx="68">
                  <c:v>기능성우유</c:v>
                </c:pt>
                <c:pt idx="69">
                  <c:v>스낵안주</c:v>
                </c:pt>
                <c:pt idx="70">
                  <c:v>햄버거</c:v>
                </c:pt>
                <c:pt idx="71">
                  <c:v>가공미반류</c:v>
                </c:pt>
                <c:pt idx="72">
                  <c:v>호빵</c:v>
                </c:pt>
                <c:pt idx="73">
                  <c:v>젤리</c:v>
                </c:pt>
                <c:pt idx="74">
                  <c:v>쨈/꿀</c:v>
                </c:pt>
                <c:pt idx="75">
                  <c:v>샐러드 </c:v>
                </c:pt>
                <c:pt idx="76">
                  <c:v>샐러드모닝랩</c:v>
                </c:pt>
                <c:pt idx="77">
                  <c:v>식용유지</c:v>
                </c:pt>
                <c:pt idx="78">
                  <c:v>냉장간식</c:v>
                </c:pt>
                <c:pt idx="79">
                  <c:v>두유</c:v>
                </c:pt>
                <c:pt idx="80">
                  <c:v>농산안주</c:v>
                </c:pt>
                <c:pt idx="81">
                  <c:v>구움과자</c:v>
                </c:pt>
                <c:pt idx="82">
                  <c:v>삼각김밥</c:v>
                </c:pt>
                <c:pt idx="83">
                  <c:v>식빵</c:v>
                </c:pt>
                <c:pt idx="84">
                  <c:v>초밥류</c:v>
                </c:pt>
                <c:pt idx="85">
                  <c:v>차음료</c:v>
                </c:pt>
                <c:pt idx="86">
                  <c:v>냉장피자</c:v>
                </c:pt>
                <c:pt idx="87">
                  <c:v>김밥</c:v>
                </c:pt>
                <c:pt idx="88">
                  <c:v>흰우유</c:v>
                </c:pt>
                <c:pt idx="89">
                  <c:v>유제품</c:v>
                </c:pt>
              </c:strCache>
            </c:strRef>
          </c:cat>
          <c:val>
            <c:numRef>
              <c:f>분포분석_파레토!$P$2:$P$91</c:f>
              <c:numCache>
                <c:formatCode>0.00</c:formatCode>
                <c:ptCount val="90"/>
                <c:pt idx="0">
                  <c:v>9.2710000000000008</c:v>
                </c:pt>
                <c:pt idx="1">
                  <c:v>9.2710000000000008</c:v>
                </c:pt>
                <c:pt idx="2">
                  <c:v>9.2710000000000008</c:v>
                </c:pt>
                <c:pt idx="3">
                  <c:v>9.2710000000000008</c:v>
                </c:pt>
                <c:pt idx="4">
                  <c:v>9.2710000000000008</c:v>
                </c:pt>
                <c:pt idx="5">
                  <c:v>9.2710000000000008</c:v>
                </c:pt>
                <c:pt idx="6">
                  <c:v>9.2710000000000008</c:v>
                </c:pt>
                <c:pt idx="7">
                  <c:v>9.2710000000000008</c:v>
                </c:pt>
                <c:pt idx="8">
                  <c:v>9.2710000000000008</c:v>
                </c:pt>
                <c:pt idx="9">
                  <c:v>9.2710000000000008</c:v>
                </c:pt>
                <c:pt idx="10">
                  <c:v>9.2710000000000008</c:v>
                </c:pt>
                <c:pt idx="11">
                  <c:v>9.2710000000000008</c:v>
                </c:pt>
                <c:pt idx="12">
                  <c:v>9.2710000000000008</c:v>
                </c:pt>
                <c:pt idx="13">
                  <c:v>9.2710000000000008</c:v>
                </c:pt>
                <c:pt idx="14">
                  <c:v>9.2710000000000008</c:v>
                </c:pt>
                <c:pt idx="15">
                  <c:v>9.2710000000000008</c:v>
                </c:pt>
                <c:pt idx="16">
                  <c:v>9.2710000000000008</c:v>
                </c:pt>
                <c:pt idx="17">
                  <c:v>9.2710000000000008</c:v>
                </c:pt>
                <c:pt idx="18">
                  <c:v>9.2710000000000008</c:v>
                </c:pt>
                <c:pt idx="19">
                  <c:v>9.2710000000000008</c:v>
                </c:pt>
                <c:pt idx="20">
                  <c:v>9.2710000000000008</c:v>
                </c:pt>
                <c:pt idx="21">
                  <c:v>9.2710000000000008</c:v>
                </c:pt>
                <c:pt idx="22">
                  <c:v>9.2710000000000008</c:v>
                </c:pt>
                <c:pt idx="23">
                  <c:v>9.2710000000000008</c:v>
                </c:pt>
                <c:pt idx="24">
                  <c:v>9.2710000000000008</c:v>
                </c:pt>
                <c:pt idx="25">
                  <c:v>9.2710000000000008</c:v>
                </c:pt>
                <c:pt idx="26">
                  <c:v>9.2710000000000008</c:v>
                </c:pt>
                <c:pt idx="27">
                  <c:v>9.2710000000000008</c:v>
                </c:pt>
                <c:pt idx="28">
                  <c:v>9.2710000000000008</c:v>
                </c:pt>
                <c:pt idx="29">
                  <c:v>9.2710000000000008</c:v>
                </c:pt>
                <c:pt idx="30">
                  <c:v>9.2710000000000008</c:v>
                </c:pt>
                <c:pt idx="31">
                  <c:v>9.2710000000000008</c:v>
                </c:pt>
                <c:pt idx="32">
                  <c:v>9.2710000000000008</c:v>
                </c:pt>
                <c:pt idx="33">
                  <c:v>9.2710000000000008</c:v>
                </c:pt>
                <c:pt idx="34">
                  <c:v>9.2710000000000008</c:v>
                </c:pt>
                <c:pt idx="35">
                  <c:v>9.2710000000000008</c:v>
                </c:pt>
                <c:pt idx="36">
                  <c:v>9.2710000000000008</c:v>
                </c:pt>
                <c:pt idx="37">
                  <c:v>9.2710000000000008</c:v>
                </c:pt>
                <c:pt idx="38">
                  <c:v>9.2710000000000008</c:v>
                </c:pt>
                <c:pt idx="39">
                  <c:v>9.2710000000000008</c:v>
                </c:pt>
                <c:pt idx="40">
                  <c:v>9.2710000000000008</c:v>
                </c:pt>
                <c:pt idx="41">
                  <c:v>9.2710000000000008</c:v>
                </c:pt>
                <c:pt idx="42">
                  <c:v>9.2710000000000008</c:v>
                </c:pt>
                <c:pt idx="43">
                  <c:v>9.2710000000000008</c:v>
                </c:pt>
                <c:pt idx="44">
                  <c:v>9.2710000000000008</c:v>
                </c:pt>
                <c:pt idx="45">
                  <c:v>9.2710000000000008</c:v>
                </c:pt>
                <c:pt idx="46">
                  <c:v>9.2710000000000008</c:v>
                </c:pt>
                <c:pt idx="47">
                  <c:v>9.2710000000000008</c:v>
                </c:pt>
                <c:pt idx="48">
                  <c:v>9.2710000000000008</c:v>
                </c:pt>
                <c:pt idx="49">
                  <c:v>9.2710000000000008</c:v>
                </c:pt>
                <c:pt idx="50">
                  <c:v>9.2710000000000008</c:v>
                </c:pt>
                <c:pt idx="51">
                  <c:v>9.2710000000000008</c:v>
                </c:pt>
                <c:pt idx="52">
                  <c:v>9.2710000000000008</c:v>
                </c:pt>
                <c:pt idx="53">
                  <c:v>9.2710000000000008</c:v>
                </c:pt>
                <c:pt idx="54">
                  <c:v>9.2710000000000008</c:v>
                </c:pt>
                <c:pt idx="55">
                  <c:v>9.2710000000000008</c:v>
                </c:pt>
                <c:pt idx="56">
                  <c:v>9.2710000000000008</c:v>
                </c:pt>
                <c:pt idx="57">
                  <c:v>9.2710000000000008</c:v>
                </c:pt>
                <c:pt idx="58">
                  <c:v>9.2710000000000008</c:v>
                </c:pt>
                <c:pt idx="59">
                  <c:v>9.2710000000000008</c:v>
                </c:pt>
                <c:pt idx="60">
                  <c:v>9.2710000000000008</c:v>
                </c:pt>
                <c:pt idx="61">
                  <c:v>9.2710000000000008</c:v>
                </c:pt>
                <c:pt idx="62">
                  <c:v>9.2710000000000008</c:v>
                </c:pt>
                <c:pt idx="63">
                  <c:v>9.2710000000000008</c:v>
                </c:pt>
                <c:pt idx="64">
                  <c:v>9.2710000000000008</c:v>
                </c:pt>
                <c:pt idx="65">
                  <c:v>9.2710000000000008</c:v>
                </c:pt>
                <c:pt idx="66">
                  <c:v>9.2710000000000008</c:v>
                </c:pt>
                <c:pt idx="67">
                  <c:v>9.2710000000000008</c:v>
                </c:pt>
                <c:pt idx="68">
                  <c:v>9.2710000000000008</c:v>
                </c:pt>
                <c:pt idx="69">
                  <c:v>9.2710000000000008</c:v>
                </c:pt>
                <c:pt idx="70">
                  <c:v>9.2710000000000008</c:v>
                </c:pt>
                <c:pt idx="71">
                  <c:v>9.2710000000000008</c:v>
                </c:pt>
                <c:pt idx="72">
                  <c:v>9.2710000000000008</c:v>
                </c:pt>
                <c:pt idx="73">
                  <c:v>9.2710000000000008</c:v>
                </c:pt>
                <c:pt idx="74">
                  <c:v>9.2710000000000008</c:v>
                </c:pt>
                <c:pt idx="75">
                  <c:v>9.2710000000000008</c:v>
                </c:pt>
                <c:pt idx="76">
                  <c:v>9.2710000000000008</c:v>
                </c:pt>
                <c:pt idx="77">
                  <c:v>9.2710000000000008</c:v>
                </c:pt>
                <c:pt idx="78">
                  <c:v>9.2710000000000008</c:v>
                </c:pt>
                <c:pt idx="79">
                  <c:v>9.2710000000000008</c:v>
                </c:pt>
                <c:pt idx="80">
                  <c:v>9.2710000000000008</c:v>
                </c:pt>
                <c:pt idx="81">
                  <c:v>9.2710000000000008</c:v>
                </c:pt>
                <c:pt idx="82">
                  <c:v>9.2710000000000008</c:v>
                </c:pt>
                <c:pt idx="83">
                  <c:v>9.2710000000000008</c:v>
                </c:pt>
                <c:pt idx="84">
                  <c:v>9.2710000000000008</c:v>
                </c:pt>
                <c:pt idx="85">
                  <c:v>9.2710000000000008</c:v>
                </c:pt>
                <c:pt idx="86">
                  <c:v>9.2710000000000008</c:v>
                </c:pt>
                <c:pt idx="87">
                  <c:v>9.2710000000000008</c:v>
                </c:pt>
                <c:pt idx="88">
                  <c:v>9.2710000000000008</c:v>
                </c:pt>
                <c:pt idx="89">
                  <c:v>9.2710000000000008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DB-4462-8AFB-D5E116E94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314143"/>
        <c:axId val="2139937359"/>
      </c:lineChart>
      <c:catAx>
        <c:axId val="212731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9937359"/>
        <c:crosses val="autoZero"/>
        <c:auto val="1"/>
        <c:lblAlgn val="ctr"/>
        <c:lblOffset val="100"/>
        <c:noMultiLvlLbl val="0"/>
      </c:catAx>
      <c:valAx>
        <c:axId val="213993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비율 </a:t>
                </a:r>
                <a:r>
                  <a:rPr lang="en-US" altLang="ko-KR"/>
                  <a:t>(</a:t>
                </a:r>
                <a:r>
                  <a:rPr lang="ko-KR" altLang="en-US"/>
                  <a:t>평균</a:t>
                </a:r>
                <a:r>
                  <a:rPr lang="en-US" altLang="ko-KR"/>
                  <a:t>/</a:t>
                </a:r>
                <a:r>
                  <a:rPr lang="ko-KR" altLang="en-US"/>
                  <a:t>중앙값</a:t>
                </a:r>
                <a:r>
                  <a:rPr lang="en-US" altLang="ko-KR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731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카테고리별 </a:t>
            </a:r>
            <a:r>
              <a:rPr lang="en-US"/>
              <a:t>log10(</a:t>
            </a:r>
            <a:r>
              <a:rPr lang="ko-KR"/>
              <a:t>비율</a:t>
            </a:r>
            <a:r>
              <a:rPr lang="en-US"/>
              <a:t>) + </a:t>
            </a:r>
            <a:r>
              <a:rPr lang="ko-KR"/>
              <a:t>이상치 기준선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분포분석_파레토!$R$1</c:f>
              <c:strCache>
                <c:ptCount val="1"/>
                <c:pt idx="0">
                  <c:v>log10(비율)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분포분석_파레토!$Q$2:$Q$91</c:f>
              <c:strCache>
                <c:ptCount val="90"/>
                <c:pt idx="0">
                  <c:v>스포츠음료</c:v>
                </c:pt>
                <c:pt idx="1">
                  <c:v>생수</c:v>
                </c:pt>
                <c:pt idx="2">
                  <c:v>미분류</c:v>
                </c:pt>
                <c:pt idx="3">
                  <c:v>고급</c:v>
                </c:pt>
                <c:pt idx="4">
                  <c:v>수입맥주</c:v>
                </c:pt>
                <c:pt idx="5">
                  <c:v>차</c:v>
                </c:pt>
                <c:pt idx="6">
                  <c:v>원컵</c:v>
                </c:pt>
                <c:pt idx="7">
                  <c:v>홈타입</c:v>
                </c:pt>
                <c:pt idx="8">
                  <c:v>시즌케익</c:v>
                </c:pt>
                <c:pt idx="9">
                  <c:v>막걸리</c:v>
                </c:pt>
                <c:pt idx="10">
                  <c:v>양주</c:v>
                </c:pt>
                <c:pt idx="11">
                  <c:v>컨셉카페</c:v>
                </c:pt>
                <c:pt idx="12">
                  <c:v>야채</c:v>
                </c:pt>
                <c:pt idx="13">
                  <c:v>봉지면</c:v>
                </c:pt>
                <c:pt idx="14">
                  <c:v>냉장간편식</c:v>
                </c:pt>
                <c:pt idx="15">
                  <c:v>너트류</c:v>
                </c:pt>
                <c:pt idx="16">
                  <c:v>조미료</c:v>
                </c:pt>
                <c:pt idx="17">
                  <c:v>소주</c:v>
                </c:pt>
                <c:pt idx="18">
                  <c:v>커피</c:v>
                </c:pt>
                <c:pt idx="19">
                  <c:v>상온간편식</c:v>
                </c:pt>
                <c:pt idx="20">
                  <c:v>전통음료</c:v>
                </c:pt>
                <c:pt idx="21">
                  <c:v>도시락</c:v>
                </c:pt>
                <c:pt idx="22">
                  <c:v>하이볼</c:v>
                </c:pt>
                <c:pt idx="23">
                  <c:v>건해산물</c:v>
                </c:pt>
                <c:pt idx="24">
                  <c:v>커피음료</c:v>
                </c:pt>
                <c:pt idx="25">
                  <c:v>건강/이너뷰티</c:v>
                </c:pt>
                <c:pt idx="26">
                  <c:v>수축산/계란</c:v>
                </c:pt>
                <c:pt idx="27">
                  <c:v>비스킷류</c:v>
                </c:pt>
                <c:pt idx="28">
                  <c:v>무알콜맥주</c:v>
                </c:pt>
                <c:pt idx="29">
                  <c:v>즉석치킨</c:v>
                </c:pt>
                <c:pt idx="30">
                  <c:v>초콜릿</c:v>
                </c:pt>
                <c:pt idx="31">
                  <c:v>쌀/잡곡</c:v>
                </c:pt>
                <c:pt idx="32">
                  <c:v>캔</c:v>
                </c:pt>
                <c:pt idx="33">
                  <c:v>신선냉동</c:v>
                </c:pt>
                <c:pt idx="34">
                  <c:v>기능성드링크</c:v>
                </c:pt>
                <c:pt idx="35">
                  <c:v>소스류</c:v>
                </c:pt>
                <c:pt idx="36">
                  <c:v>냉동간편식</c:v>
                </c:pt>
                <c:pt idx="37">
                  <c:v>떡</c:v>
                </c:pt>
                <c:pt idx="38">
                  <c:v>숙취해소제</c:v>
                </c:pt>
                <c:pt idx="39">
                  <c:v>젤리류</c:v>
                </c:pt>
                <c:pt idx="40">
                  <c:v>파우치</c:v>
                </c:pt>
                <c:pt idx="41">
                  <c:v>탄산음료</c:v>
                </c:pt>
                <c:pt idx="42">
                  <c:v>과일</c:v>
                </c:pt>
                <c:pt idx="43">
                  <c:v>샌드위치</c:v>
                </c:pt>
                <c:pt idx="44">
                  <c:v>선물세트</c:v>
                </c:pt>
                <c:pt idx="45">
                  <c:v>스낵류</c:v>
                </c:pt>
                <c:pt idx="46">
                  <c:v>리쿼</c:v>
                </c:pt>
                <c:pt idx="47">
                  <c:v>장류</c:v>
                </c:pt>
                <c:pt idx="48">
                  <c:v>즉석조리</c:v>
                </c:pt>
                <c:pt idx="49">
                  <c:v>용기면</c:v>
                </c:pt>
                <c:pt idx="50">
                  <c:v>껌</c:v>
                </c:pt>
                <c:pt idx="51">
                  <c:v>간식빵</c:v>
                </c:pt>
                <c:pt idx="52">
                  <c:v>프로틴 음료</c:v>
                </c:pt>
                <c:pt idx="53">
                  <c:v>선물세트 </c:v>
                </c:pt>
                <c:pt idx="54">
                  <c:v>가공우유</c:v>
                </c:pt>
                <c:pt idx="55">
                  <c:v>조리냉동</c:v>
                </c:pt>
                <c:pt idx="56">
                  <c:v>푸드 간편식</c:v>
                </c:pt>
                <c:pt idx="57">
                  <c:v>냉장베이커리</c:v>
                </c:pt>
                <c:pt idx="58">
                  <c:v>컵커피</c:v>
                </c:pt>
                <c:pt idx="59">
                  <c:v>주스</c:v>
                </c:pt>
                <c:pt idx="60">
                  <c:v>냉동만두</c:v>
                </c:pt>
                <c:pt idx="61">
                  <c:v>육포</c:v>
                </c:pt>
                <c:pt idx="62">
                  <c:v>오징어</c:v>
                </c:pt>
                <c:pt idx="63">
                  <c:v>냉장주스</c:v>
                </c:pt>
                <c:pt idx="64">
                  <c:v>냉장안주</c:v>
                </c:pt>
                <c:pt idx="65">
                  <c:v>프로틴/시리얼</c:v>
                </c:pt>
                <c:pt idx="66">
                  <c:v>요구르트</c:v>
                </c:pt>
                <c:pt idx="67">
                  <c:v>생선류</c:v>
                </c:pt>
                <c:pt idx="68">
                  <c:v>기능성우유</c:v>
                </c:pt>
                <c:pt idx="69">
                  <c:v>스낵안주</c:v>
                </c:pt>
                <c:pt idx="70">
                  <c:v>햄버거</c:v>
                </c:pt>
                <c:pt idx="71">
                  <c:v>가공미반류</c:v>
                </c:pt>
                <c:pt idx="72">
                  <c:v>호빵</c:v>
                </c:pt>
                <c:pt idx="73">
                  <c:v>젤리</c:v>
                </c:pt>
                <c:pt idx="74">
                  <c:v>쨈/꿀</c:v>
                </c:pt>
                <c:pt idx="75">
                  <c:v>샐러드 </c:v>
                </c:pt>
                <c:pt idx="76">
                  <c:v>샐러드모닝랩</c:v>
                </c:pt>
                <c:pt idx="77">
                  <c:v>식용유지</c:v>
                </c:pt>
                <c:pt idx="78">
                  <c:v>냉장간식</c:v>
                </c:pt>
                <c:pt idx="79">
                  <c:v>두유</c:v>
                </c:pt>
                <c:pt idx="80">
                  <c:v>농산안주</c:v>
                </c:pt>
                <c:pt idx="81">
                  <c:v>구움과자</c:v>
                </c:pt>
                <c:pt idx="82">
                  <c:v>삼각김밥</c:v>
                </c:pt>
                <c:pt idx="83">
                  <c:v>식빵</c:v>
                </c:pt>
                <c:pt idx="84">
                  <c:v>초밥류</c:v>
                </c:pt>
                <c:pt idx="85">
                  <c:v>차음료</c:v>
                </c:pt>
                <c:pt idx="86">
                  <c:v>냉장피자</c:v>
                </c:pt>
                <c:pt idx="87">
                  <c:v>김밥</c:v>
                </c:pt>
                <c:pt idx="88">
                  <c:v>흰우유</c:v>
                </c:pt>
                <c:pt idx="89">
                  <c:v>유제품</c:v>
                </c:pt>
              </c:strCache>
            </c:strRef>
          </c:cat>
          <c:val>
            <c:numRef>
              <c:f>분포분석_파레토!$R$2:$R$91</c:f>
              <c:numCache>
                <c:formatCode>0.00</c:formatCode>
                <c:ptCount val="90"/>
                <c:pt idx="0">
                  <c:v>2.8239979928603378</c:v>
                </c:pt>
                <c:pt idx="1">
                  <c:v>2.0544910007170345</c:v>
                </c:pt>
                <c:pt idx="2">
                  <c:v>1.7368411763103153</c:v>
                </c:pt>
                <c:pt idx="3">
                  <c:v>1.3020316897150945</c:v>
                </c:pt>
                <c:pt idx="4">
                  <c:v>1.2837052734011791</c:v>
                </c:pt>
                <c:pt idx="5">
                  <c:v>1.1840452715378713</c:v>
                </c:pt>
                <c:pt idx="6">
                  <c:v>1.1605655452655166</c:v>
                </c:pt>
                <c:pt idx="7">
                  <c:v>0.98982959969019235</c:v>
                </c:pt>
                <c:pt idx="8">
                  <c:v>0.94474072576166335</c:v>
                </c:pt>
                <c:pt idx="9">
                  <c:v>0.94024726611956855</c:v>
                </c:pt>
                <c:pt idx="10">
                  <c:v>0.90972599642692198</c:v>
                </c:pt>
                <c:pt idx="11">
                  <c:v>0.90498327402494094</c:v>
                </c:pt>
                <c:pt idx="12">
                  <c:v>0.80362538644256909</c:v>
                </c:pt>
                <c:pt idx="13">
                  <c:v>0.6890643245263387</c:v>
                </c:pt>
                <c:pt idx="14">
                  <c:v>0.65403312699367888</c:v>
                </c:pt>
                <c:pt idx="15">
                  <c:v>0.63154294372160835</c:v>
                </c:pt>
                <c:pt idx="16">
                  <c:v>0.62863674249040069</c:v>
                </c:pt>
                <c:pt idx="17">
                  <c:v>0.62766925561330222</c:v>
                </c:pt>
                <c:pt idx="18">
                  <c:v>0.61359843751343812</c:v>
                </c:pt>
                <c:pt idx="19">
                  <c:v>0.60444439950107465</c:v>
                </c:pt>
                <c:pt idx="20">
                  <c:v>0.56415640854690263</c:v>
                </c:pt>
                <c:pt idx="21">
                  <c:v>0.52577000726457435</c:v>
                </c:pt>
                <c:pt idx="22">
                  <c:v>0.51042280704925491</c:v>
                </c:pt>
                <c:pt idx="23">
                  <c:v>0.49263453367601334</c:v>
                </c:pt>
                <c:pt idx="24">
                  <c:v>0.47816045145872083</c:v>
                </c:pt>
                <c:pt idx="25">
                  <c:v>0.47101212955473853</c:v>
                </c:pt>
                <c:pt idx="26">
                  <c:v>0.45480410799929677</c:v>
                </c:pt>
                <c:pt idx="27">
                  <c:v>0.45065126373773884</c:v>
                </c:pt>
                <c:pt idx="28">
                  <c:v>0.43722639561978649</c:v>
                </c:pt>
                <c:pt idx="29">
                  <c:v>0.43664283951440891</c:v>
                </c:pt>
                <c:pt idx="30">
                  <c:v>0.41268444201843313</c:v>
                </c:pt>
                <c:pt idx="31">
                  <c:v>0.40430998642594068</c:v>
                </c:pt>
                <c:pt idx="32">
                  <c:v>0.39813869817941056</c:v>
                </c:pt>
                <c:pt idx="33">
                  <c:v>0.39298790501515624</c:v>
                </c:pt>
                <c:pt idx="34">
                  <c:v>0.37937585960325282</c:v>
                </c:pt>
                <c:pt idx="35">
                  <c:v>0.34951771947201155</c:v>
                </c:pt>
                <c:pt idx="36">
                  <c:v>0.32654461886658287</c:v>
                </c:pt>
                <c:pt idx="37">
                  <c:v>0.31482727368714464</c:v>
                </c:pt>
                <c:pt idx="38">
                  <c:v>0.3111249404269531</c:v>
                </c:pt>
                <c:pt idx="39">
                  <c:v>0.30460822981490498</c:v>
                </c:pt>
                <c:pt idx="40">
                  <c:v>0.297433968541298</c:v>
                </c:pt>
                <c:pt idx="41">
                  <c:v>0.27739066406734014</c:v>
                </c:pt>
                <c:pt idx="42">
                  <c:v>0.27676903045970208</c:v>
                </c:pt>
                <c:pt idx="43">
                  <c:v>0.23713712207658483</c:v>
                </c:pt>
                <c:pt idx="44">
                  <c:v>0.23294564856648828</c:v>
                </c:pt>
                <c:pt idx="45">
                  <c:v>0.23249068960648103</c:v>
                </c:pt>
                <c:pt idx="46">
                  <c:v>0.21974345161021649</c:v>
                </c:pt>
                <c:pt idx="47">
                  <c:v>0.21953820313814179</c:v>
                </c:pt>
                <c:pt idx="48">
                  <c:v>0.19842490309246008</c:v>
                </c:pt>
                <c:pt idx="49">
                  <c:v>0.19500047725358619</c:v>
                </c:pt>
                <c:pt idx="50">
                  <c:v>0.17695867147197075</c:v>
                </c:pt>
                <c:pt idx="51">
                  <c:v>0.17626164172646702</c:v>
                </c:pt>
                <c:pt idx="52">
                  <c:v>0.16276975066667157</c:v>
                </c:pt>
                <c:pt idx="53">
                  <c:v>0.15260180435760054</c:v>
                </c:pt>
                <c:pt idx="54">
                  <c:v>0.15035522173078034</c:v>
                </c:pt>
                <c:pt idx="55">
                  <c:v>0.14926814869704466</c:v>
                </c:pt>
                <c:pt idx="56">
                  <c:v>0.14261642762741197</c:v>
                </c:pt>
                <c:pt idx="57">
                  <c:v>0.13541952551723854</c:v>
                </c:pt>
                <c:pt idx="58">
                  <c:v>0.12961038488592241</c:v>
                </c:pt>
                <c:pt idx="59">
                  <c:v>0.1264356461556144</c:v>
                </c:pt>
                <c:pt idx="60">
                  <c:v>9.6487212805001513E-2</c:v>
                </c:pt>
                <c:pt idx="61">
                  <c:v>9.1511893442116021E-2</c:v>
                </c:pt>
                <c:pt idx="62">
                  <c:v>8.6768107035810227E-2</c:v>
                </c:pt>
                <c:pt idx="63">
                  <c:v>8.1347293055952563E-2</c:v>
                </c:pt>
                <c:pt idx="64">
                  <c:v>7.7579509338857461E-2</c:v>
                </c:pt>
                <c:pt idx="65">
                  <c:v>7.5501677903628717E-2</c:v>
                </c:pt>
                <c:pt idx="66">
                  <c:v>7.4653495572728795E-2</c:v>
                </c:pt>
                <c:pt idx="67">
                  <c:v>7.3470292787292502E-2</c:v>
                </c:pt>
                <c:pt idx="68">
                  <c:v>6.4768785844080676E-2</c:v>
                </c:pt>
                <c:pt idx="69">
                  <c:v>6.3827896020580005E-2</c:v>
                </c:pt>
                <c:pt idx="70">
                  <c:v>5.1604756754846298E-2</c:v>
                </c:pt>
                <c:pt idx="71">
                  <c:v>4.6948743732797532E-2</c:v>
                </c:pt>
                <c:pt idx="72">
                  <c:v>3.9287414147967319E-2</c:v>
                </c:pt>
                <c:pt idx="73">
                  <c:v>3.8227243638939826E-2</c:v>
                </c:pt>
                <c:pt idx="74">
                  <c:v>3.4819133255052009E-2</c:v>
                </c:pt>
                <c:pt idx="75">
                  <c:v>3.4786217985118911E-2</c:v>
                </c:pt>
                <c:pt idx="76">
                  <c:v>2.5807565104934666E-2</c:v>
                </c:pt>
                <c:pt idx="77">
                  <c:v>2.5269159411270486E-2</c:v>
                </c:pt>
                <c:pt idx="78">
                  <c:v>1.3416165439204599E-2</c:v>
                </c:pt>
                <c:pt idx="79">
                  <c:v>-2.1915883040376535E-3</c:v>
                </c:pt>
                <c:pt idx="80">
                  <c:v>-3.6189662230212099E-3</c:v>
                </c:pt>
                <c:pt idx="81">
                  <c:v>-5.4131675651476882E-3</c:v>
                </c:pt>
                <c:pt idx="82">
                  <c:v>-7.8376961907439431E-3</c:v>
                </c:pt>
                <c:pt idx="83">
                  <c:v>-1.2884145104843581E-2</c:v>
                </c:pt>
                <c:pt idx="84">
                  <c:v>-1.3213194668487367E-2</c:v>
                </c:pt>
                <c:pt idx="85">
                  <c:v>-2.0810560804468244E-2</c:v>
                </c:pt>
                <c:pt idx="86">
                  <c:v>-2.2891027933919589E-2</c:v>
                </c:pt>
                <c:pt idx="87">
                  <c:v>-2.5394791453916075E-2</c:v>
                </c:pt>
                <c:pt idx="88">
                  <c:v>-5.0944325543147546E-2</c:v>
                </c:pt>
                <c:pt idx="89">
                  <c:v>-5.3434888321006541E-2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B-462D-9C41-0211DF7CC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047919"/>
        <c:axId val="217046959"/>
      </c:barChart>
      <c:lineChart>
        <c:grouping val="standard"/>
        <c:varyColors val="0"/>
        <c:ser>
          <c:idx val="1"/>
          <c:order val="1"/>
          <c:tx>
            <c:strRef>
              <c:f>분포분석_파레토!$S$1</c:f>
              <c:strCache>
                <c:ptCount val="1"/>
                <c:pt idx="0">
                  <c:v>log10(6.24)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분포분석_파레토!$Q$2:$Q$91</c:f>
              <c:strCache>
                <c:ptCount val="90"/>
                <c:pt idx="0">
                  <c:v>스포츠음료</c:v>
                </c:pt>
                <c:pt idx="1">
                  <c:v>생수</c:v>
                </c:pt>
                <c:pt idx="2">
                  <c:v>미분류</c:v>
                </c:pt>
                <c:pt idx="3">
                  <c:v>고급</c:v>
                </c:pt>
                <c:pt idx="4">
                  <c:v>수입맥주</c:v>
                </c:pt>
                <c:pt idx="5">
                  <c:v>차</c:v>
                </c:pt>
                <c:pt idx="6">
                  <c:v>원컵</c:v>
                </c:pt>
                <c:pt idx="7">
                  <c:v>홈타입</c:v>
                </c:pt>
                <c:pt idx="8">
                  <c:v>시즌케익</c:v>
                </c:pt>
                <c:pt idx="9">
                  <c:v>막걸리</c:v>
                </c:pt>
                <c:pt idx="10">
                  <c:v>양주</c:v>
                </c:pt>
                <c:pt idx="11">
                  <c:v>컨셉카페</c:v>
                </c:pt>
                <c:pt idx="12">
                  <c:v>야채</c:v>
                </c:pt>
                <c:pt idx="13">
                  <c:v>봉지면</c:v>
                </c:pt>
                <c:pt idx="14">
                  <c:v>냉장간편식</c:v>
                </c:pt>
                <c:pt idx="15">
                  <c:v>너트류</c:v>
                </c:pt>
                <c:pt idx="16">
                  <c:v>조미료</c:v>
                </c:pt>
                <c:pt idx="17">
                  <c:v>소주</c:v>
                </c:pt>
                <c:pt idx="18">
                  <c:v>커피</c:v>
                </c:pt>
                <c:pt idx="19">
                  <c:v>상온간편식</c:v>
                </c:pt>
                <c:pt idx="20">
                  <c:v>전통음료</c:v>
                </c:pt>
                <c:pt idx="21">
                  <c:v>도시락</c:v>
                </c:pt>
                <c:pt idx="22">
                  <c:v>하이볼</c:v>
                </c:pt>
                <c:pt idx="23">
                  <c:v>건해산물</c:v>
                </c:pt>
                <c:pt idx="24">
                  <c:v>커피음료</c:v>
                </c:pt>
                <c:pt idx="25">
                  <c:v>건강/이너뷰티</c:v>
                </c:pt>
                <c:pt idx="26">
                  <c:v>수축산/계란</c:v>
                </c:pt>
                <c:pt idx="27">
                  <c:v>비스킷류</c:v>
                </c:pt>
                <c:pt idx="28">
                  <c:v>무알콜맥주</c:v>
                </c:pt>
                <c:pt idx="29">
                  <c:v>즉석치킨</c:v>
                </c:pt>
                <c:pt idx="30">
                  <c:v>초콜릿</c:v>
                </c:pt>
                <c:pt idx="31">
                  <c:v>쌀/잡곡</c:v>
                </c:pt>
                <c:pt idx="32">
                  <c:v>캔</c:v>
                </c:pt>
                <c:pt idx="33">
                  <c:v>신선냉동</c:v>
                </c:pt>
                <c:pt idx="34">
                  <c:v>기능성드링크</c:v>
                </c:pt>
                <c:pt idx="35">
                  <c:v>소스류</c:v>
                </c:pt>
                <c:pt idx="36">
                  <c:v>냉동간편식</c:v>
                </c:pt>
                <c:pt idx="37">
                  <c:v>떡</c:v>
                </c:pt>
                <c:pt idx="38">
                  <c:v>숙취해소제</c:v>
                </c:pt>
                <c:pt idx="39">
                  <c:v>젤리류</c:v>
                </c:pt>
                <c:pt idx="40">
                  <c:v>파우치</c:v>
                </c:pt>
                <c:pt idx="41">
                  <c:v>탄산음료</c:v>
                </c:pt>
                <c:pt idx="42">
                  <c:v>과일</c:v>
                </c:pt>
                <c:pt idx="43">
                  <c:v>샌드위치</c:v>
                </c:pt>
                <c:pt idx="44">
                  <c:v>선물세트</c:v>
                </c:pt>
                <c:pt idx="45">
                  <c:v>스낵류</c:v>
                </c:pt>
                <c:pt idx="46">
                  <c:v>리쿼</c:v>
                </c:pt>
                <c:pt idx="47">
                  <c:v>장류</c:v>
                </c:pt>
                <c:pt idx="48">
                  <c:v>즉석조리</c:v>
                </c:pt>
                <c:pt idx="49">
                  <c:v>용기면</c:v>
                </c:pt>
                <c:pt idx="50">
                  <c:v>껌</c:v>
                </c:pt>
                <c:pt idx="51">
                  <c:v>간식빵</c:v>
                </c:pt>
                <c:pt idx="52">
                  <c:v>프로틴 음료</c:v>
                </c:pt>
                <c:pt idx="53">
                  <c:v>선물세트 </c:v>
                </c:pt>
                <c:pt idx="54">
                  <c:v>가공우유</c:v>
                </c:pt>
                <c:pt idx="55">
                  <c:v>조리냉동</c:v>
                </c:pt>
                <c:pt idx="56">
                  <c:v>푸드 간편식</c:v>
                </c:pt>
                <c:pt idx="57">
                  <c:v>냉장베이커리</c:v>
                </c:pt>
                <c:pt idx="58">
                  <c:v>컵커피</c:v>
                </c:pt>
                <c:pt idx="59">
                  <c:v>주스</c:v>
                </c:pt>
                <c:pt idx="60">
                  <c:v>냉동만두</c:v>
                </c:pt>
                <c:pt idx="61">
                  <c:v>육포</c:v>
                </c:pt>
                <c:pt idx="62">
                  <c:v>오징어</c:v>
                </c:pt>
                <c:pt idx="63">
                  <c:v>냉장주스</c:v>
                </c:pt>
                <c:pt idx="64">
                  <c:v>냉장안주</c:v>
                </c:pt>
                <c:pt idx="65">
                  <c:v>프로틴/시리얼</c:v>
                </c:pt>
                <c:pt idx="66">
                  <c:v>요구르트</c:v>
                </c:pt>
                <c:pt idx="67">
                  <c:v>생선류</c:v>
                </c:pt>
                <c:pt idx="68">
                  <c:v>기능성우유</c:v>
                </c:pt>
                <c:pt idx="69">
                  <c:v>스낵안주</c:v>
                </c:pt>
                <c:pt idx="70">
                  <c:v>햄버거</c:v>
                </c:pt>
                <c:pt idx="71">
                  <c:v>가공미반류</c:v>
                </c:pt>
                <c:pt idx="72">
                  <c:v>호빵</c:v>
                </c:pt>
                <c:pt idx="73">
                  <c:v>젤리</c:v>
                </c:pt>
                <c:pt idx="74">
                  <c:v>쨈/꿀</c:v>
                </c:pt>
                <c:pt idx="75">
                  <c:v>샐러드 </c:v>
                </c:pt>
                <c:pt idx="76">
                  <c:v>샐러드모닝랩</c:v>
                </c:pt>
                <c:pt idx="77">
                  <c:v>식용유지</c:v>
                </c:pt>
                <c:pt idx="78">
                  <c:v>냉장간식</c:v>
                </c:pt>
                <c:pt idx="79">
                  <c:v>두유</c:v>
                </c:pt>
                <c:pt idx="80">
                  <c:v>농산안주</c:v>
                </c:pt>
                <c:pt idx="81">
                  <c:v>구움과자</c:v>
                </c:pt>
                <c:pt idx="82">
                  <c:v>삼각김밥</c:v>
                </c:pt>
                <c:pt idx="83">
                  <c:v>식빵</c:v>
                </c:pt>
                <c:pt idx="84">
                  <c:v>초밥류</c:v>
                </c:pt>
                <c:pt idx="85">
                  <c:v>차음료</c:v>
                </c:pt>
                <c:pt idx="86">
                  <c:v>냉장피자</c:v>
                </c:pt>
                <c:pt idx="87">
                  <c:v>김밥</c:v>
                </c:pt>
                <c:pt idx="88">
                  <c:v>흰우유</c:v>
                </c:pt>
                <c:pt idx="89">
                  <c:v>유제품</c:v>
                </c:pt>
              </c:strCache>
            </c:strRef>
          </c:cat>
          <c:val>
            <c:numRef>
              <c:f>분포분석_파레토!$S$2:$S$91</c:f>
              <c:numCache>
                <c:formatCode>0.00</c:formatCode>
                <c:ptCount val="90"/>
                <c:pt idx="0">
                  <c:v>0.79510106348120424</c:v>
                </c:pt>
                <c:pt idx="1">
                  <c:v>0.79510106348120424</c:v>
                </c:pt>
                <c:pt idx="2">
                  <c:v>0.79510106348120424</c:v>
                </c:pt>
                <c:pt idx="3">
                  <c:v>0.79510106348120424</c:v>
                </c:pt>
                <c:pt idx="4">
                  <c:v>0.79510106348120424</c:v>
                </c:pt>
                <c:pt idx="5">
                  <c:v>0.79510106348120424</c:v>
                </c:pt>
                <c:pt idx="6">
                  <c:v>0.79510106348120424</c:v>
                </c:pt>
                <c:pt idx="7">
                  <c:v>0.79510106348120424</c:v>
                </c:pt>
                <c:pt idx="8">
                  <c:v>0.79510106348120424</c:v>
                </c:pt>
                <c:pt idx="9">
                  <c:v>0.79510106348120424</c:v>
                </c:pt>
                <c:pt idx="10">
                  <c:v>0.79510106348120424</c:v>
                </c:pt>
                <c:pt idx="11">
                  <c:v>0.79510106348120424</c:v>
                </c:pt>
                <c:pt idx="12">
                  <c:v>0.79510106348120424</c:v>
                </c:pt>
                <c:pt idx="13">
                  <c:v>0.79510106348120424</c:v>
                </c:pt>
                <c:pt idx="14">
                  <c:v>0.79510106348120424</c:v>
                </c:pt>
                <c:pt idx="15">
                  <c:v>0.79510106348120424</c:v>
                </c:pt>
                <c:pt idx="16">
                  <c:v>0.79510106348120424</c:v>
                </c:pt>
                <c:pt idx="17">
                  <c:v>0.79510106348120424</c:v>
                </c:pt>
                <c:pt idx="18">
                  <c:v>0.79510106348120424</c:v>
                </c:pt>
                <c:pt idx="19">
                  <c:v>0.79510106348120424</c:v>
                </c:pt>
                <c:pt idx="20">
                  <c:v>0.79510106348120424</c:v>
                </c:pt>
                <c:pt idx="21">
                  <c:v>0.79510106348120424</c:v>
                </c:pt>
                <c:pt idx="22">
                  <c:v>0.79510106348120424</c:v>
                </c:pt>
                <c:pt idx="23">
                  <c:v>0.79510106348120424</c:v>
                </c:pt>
                <c:pt idx="24">
                  <c:v>0.79510106348120424</c:v>
                </c:pt>
                <c:pt idx="25">
                  <c:v>0.79510106348120424</c:v>
                </c:pt>
                <c:pt idx="26">
                  <c:v>0.79510106348120424</c:v>
                </c:pt>
                <c:pt idx="27">
                  <c:v>0.79510106348120424</c:v>
                </c:pt>
                <c:pt idx="28">
                  <c:v>0.79510106348120424</c:v>
                </c:pt>
                <c:pt idx="29">
                  <c:v>0.79510106348120424</c:v>
                </c:pt>
                <c:pt idx="30">
                  <c:v>0.79510106348120424</c:v>
                </c:pt>
                <c:pt idx="31">
                  <c:v>0.79510106348120424</c:v>
                </c:pt>
                <c:pt idx="32">
                  <c:v>0.79510106348120424</c:v>
                </c:pt>
                <c:pt idx="33">
                  <c:v>0.79510106348120424</c:v>
                </c:pt>
                <c:pt idx="34">
                  <c:v>0.79510106348120424</c:v>
                </c:pt>
                <c:pt idx="35">
                  <c:v>0.79510106348120424</c:v>
                </c:pt>
                <c:pt idx="36">
                  <c:v>0.79510106348120424</c:v>
                </c:pt>
                <c:pt idx="37">
                  <c:v>0.79510106348120424</c:v>
                </c:pt>
                <c:pt idx="38">
                  <c:v>0.79510106348120424</c:v>
                </c:pt>
                <c:pt idx="39">
                  <c:v>0.79510106348120424</c:v>
                </c:pt>
                <c:pt idx="40">
                  <c:v>0.79510106348120424</c:v>
                </c:pt>
                <c:pt idx="41">
                  <c:v>0.79510106348120424</c:v>
                </c:pt>
                <c:pt idx="42">
                  <c:v>0.79510106348120424</c:v>
                </c:pt>
                <c:pt idx="43">
                  <c:v>0.79510106348120424</c:v>
                </c:pt>
                <c:pt idx="44">
                  <c:v>0.79510106348120424</c:v>
                </c:pt>
                <c:pt idx="45">
                  <c:v>0.79510106348120424</c:v>
                </c:pt>
                <c:pt idx="46">
                  <c:v>0.79510106348120424</c:v>
                </c:pt>
                <c:pt idx="47">
                  <c:v>0.79510106348120424</c:v>
                </c:pt>
                <c:pt idx="48">
                  <c:v>0.79510106348120424</c:v>
                </c:pt>
                <c:pt idx="49">
                  <c:v>0.79510106348120424</c:v>
                </c:pt>
                <c:pt idx="50">
                  <c:v>0.79510106348120424</c:v>
                </c:pt>
                <c:pt idx="51">
                  <c:v>0.79510106348120424</c:v>
                </c:pt>
                <c:pt idx="52">
                  <c:v>0.79510106348120424</c:v>
                </c:pt>
                <c:pt idx="53">
                  <c:v>0.79510106348120424</c:v>
                </c:pt>
                <c:pt idx="54">
                  <c:v>0.79510106348120424</c:v>
                </c:pt>
                <c:pt idx="55">
                  <c:v>0.79510106348120424</c:v>
                </c:pt>
                <c:pt idx="56">
                  <c:v>0.79510106348120424</c:v>
                </c:pt>
                <c:pt idx="57">
                  <c:v>0.79510106348120424</c:v>
                </c:pt>
                <c:pt idx="58">
                  <c:v>0.79510106348120424</c:v>
                </c:pt>
                <c:pt idx="59">
                  <c:v>0.79510106348120424</c:v>
                </c:pt>
                <c:pt idx="60">
                  <c:v>0.79510106348120424</c:v>
                </c:pt>
                <c:pt idx="61">
                  <c:v>0.79510106348120424</c:v>
                </c:pt>
                <c:pt idx="62">
                  <c:v>0.79510106348120424</c:v>
                </c:pt>
                <c:pt idx="63">
                  <c:v>0.79510106348120424</c:v>
                </c:pt>
                <c:pt idx="64">
                  <c:v>0.79510106348120424</c:v>
                </c:pt>
                <c:pt idx="65">
                  <c:v>0.79510106348120424</c:v>
                </c:pt>
                <c:pt idx="66">
                  <c:v>0.79510106348120424</c:v>
                </c:pt>
                <c:pt idx="67">
                  <c:v>0.79510106348120424</c:v>
                </c:pt>
                <c:pt idx="68">
                  <c:v>0.79510106348120424</c:v>
                </c:pt>
                <c:pt idx="69">
                  <c:v>0.79510106348120424</c:v>
                </c:pt>
                <c:pt idx="70">
                  <c:v>0.79510106348120424</c:v>
                </c:pt>
                <c:pt idx="71">
                  <c:v>0.79510106348120424</c:v>
                </c:pt>
                <c:pt idx="72">
                  <c:v>0.79510106348120424</c:v>
                </c:pt>
                <c:pt idx="73">
                  <c:v>0.79510106348120424</c:v>
                </c:pt>
                <c:pt idx="74">
                  <c:v>0.79510106348120424</c:v>
                </c:pt>
                <c:pt idx="75">
                  <c:v>0.79510106348120424</c:v>
                </c:pt>
                <c:pt idx="76">
                  <c:v>0.79510106348120424</c:v>
                </c:pt>
                <c:pt idx="77">
                  <c:v>0.79510106348120424</c:v>
                </c:pt>
                <c:pt idx="78">
                  <c:v>0.79510106348120424</c:v>
                </c:pt>
                <c:pt idx="79">
                  <c:v>0.79510106348120424</c:v>
                </c:pt>
                <c:pt idx="80">
                  <c:v>0.79510106348120424</c:v>
                </c:pt>
                <c:pt idx="81">
                  <c:v>0.79510106348120424</c:v>
                </c:pt>
                <c:pt idx="82">
                  <c:v>0.79510106348120424</c:v>
                </c:pt>
                <c:pt idx="83">
                  <c:v>0.79510106348120424</c:v>
                </c:pt>
                <c:pt idx="84">
                  <c:v>0.79510106348120424</c:v>
                </c:pt>
                <c:pt idx="85">
                  <c:v>0.79510106348120424</c:v>
                </c:pt>
                <c:pt idx="86">
                  <c:v>0.79510106348120424</c:v>
                </c:pt>
                <c:pt idx="87">
                  <c:v>0.79510106348120424</c:v>
                </c:pt>
                <c:pt idx="88">
                  <c:v>0.79510106348120424</c:v>
                </c:pt>
                <c:pt idx="89">
                  <c:v>0.79510106348120424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3B-462D-9C41-0211DF7CC139}"/>
            </c:ext>
          </c:extLst>
        </c:ser>
        <c:ser>
          <c:idx val="2"/>
          <c:order val="2"/>
          <c:tx>
            <c:strRef>
              <c:f>분포분석_파레토!$T$1</c:f>
              <c:strCache>
                <c:ptCount val="1"/>
                <c:pt idx="0">
                  <c:v>log10(9.27)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분포분석_파레토!$Q$2:$Q$91</c:f>
              <c:strCache>
                <c:ptCount val="90"/>
                <c:pt idx="0">
                  <c:v>스포츠음료</c:v>
                </c:pt>
                <c:pt idx="1">
                  <c:v>생수</c:v>
                </c:pt>
                <c:pt idx="2">
                  <c:v>미분류</c:v>
                </c:pt>
                <c:pt idx="3">
                  <c:v>고급</c:v>
                </c:pt>
                <c:pt idx="4">
                  <c:v>수입맥주</c:v>
                </c:pt>
                <c:pt idx="5">
                  <c:v>차</c:v>
                </c:pt>
                <c:pt idx="6">
                  <c:v>원컵</c:v>
                </c:pt>
                <c:pt idx="7">
                  <c:v>홈타입</c:v>
                </c:pt>
                <c:pt idx="8">
                  <c:v>시즌케익</c:v>
                </c:pt>
                <c:pt idx="9">
                  <c:v>막걸리</c:v>
                </c:pt>
                <c:pt idx="10">
                  <c:v>양주</c:v>
                </c:pt>
                <c:pt idx="11">
                  <c:v>컨셉카페</c:v>
                </c:pt>
                <c:pt idx="12">
                  <c:v>야채</c:v>
                </c:pt>
                <c:pt idx="13">
                  <c:v>봉지면</c:v>
                </c:pt>
                <c:pt idx="14">
                  <c:v>냉장간편식</c:v>
                </c:pt>
                <c:pt idx="15">
                  <c:v>너트류</c:v>
                </c:pt>
                <c:pt idx="16">
                  <c:v>조미료</c:v>
                </c:pt>
                <c:pt idx="17">
                  <c:v>소주</c:v>
                </c:pt>
                <c:pt idx="18">
                  <c:v>커피</c:v>
                </c:pt>
                <c:pt idx="19">
                  <c:v>상온간편식</c:v>
                </c:pt>
                <c:pt idx="20">
                  <c:v>전통음료</c:v>
                </c:pt>
                <c:pt idx="21">
                  <c:v>도시락</c:v>
                </c:pt>
                <c:pt idx="22">
                  <c:v>하이볼</c:v>
                </c:pt>
                <c:pt idx="23">
                  <c:v>건해산물</c:v>
                </c:pt>
                <c:pt idx="24">
                  <c:v>커피음료</c:v>
                </c:pt>
                <c:pt idx="25">
                  <c:v>건강/이너뷰티</c:v>
                </c:pt>
                <c:pt idx="26">
                  <c:v>수축산/계란</c:v>
                </c:pt>
                <c:pt idx="27">
                  <c:v>비스킷류</c:v>
                </c:pt>
                <c:pt idx="28">
                  <c:v>무알콜맥주</c:v>
                </c:pt>
                <c:pt idx="29">
                  <c:v>즉석치킨</c:v>
                </c:pt>
                <c:pt idx="30">
                  <c:v>초콜릿</c:v>
                </c:pt>
                <c:pt idx="31">
                  <c:v>쌀/잡곡</c:v>
                </c:pt>
                <c:pt idx="32">
                  <c:v>캔</c:v>
                </c:pt>
                <c:pt idx="33">
                  <c:v>신선냉동</c:v>
                </c:pt>
                <c:pt idx="34">
                  <c:v>기능성드링크</c:v>
                </c:pt>
                <c:pt idx="35">
                  <c:v>소스류</c:v>
                </c:pt>
                <c:pt idx="36">
                  <c:v>냉동간편식</c:v>
                </c:pt>
                <c:pt idx="37">
                  <c:v>떡</c:v>
                </c:pt>
                <c:pt idx="38">
                  <c:v>숙취해소제</c:v>
                </c:pt>
                <c:pt idx="39">
                  <c:v>젤리류</c:v>
                </c:pt>
                <c:pt idx="40">
                  <c:v>파우치</c:v>
                </c:pt>
                <c:pt idx="41">
                  <c:v>탄산음료</c:v>
                </c:pt>
                <c:pt idx="42">
                  <c:v>과일</c:v>
                </c:pt>
                <c:pt idx="43">
                  <c:v>샌드위치</c:v>
                </c:pt>
                <c:pt idx="44">
                  <c:v>선물세트</c:v>
                </c:pt>
                <c:pt idx="45">
                  <c:v>스낵류</c:v>
                </c:pt>
                <c:pt idx="46">
                  <c:v>리쿼</c:v>
                </c:pt>
                <c:pt idx="47">
                  <c:v>장류</c:v>
                </c:pt>
                <c:pt idx="48">
                  <c:v>즉석조리</c:v>
                </c:pt>
                <c:pt idx="49">
                  <c:v>용기면</c:v>
                </c:pt>
                <c:pt idx="50">
                  <c:v>껌</c:v>
                </c:pt>
                <c:pt idx="51">
                  <c:v>간식빵</c:v>
                </c:pt>
                <c:pt idx="52">
                  <c:v>프로틴 음료</c:v>
                </c:pt>
                <c:pt idx="53">
                  <c:v>선물세트 </c:v>
                </c:pt>
                <c:pt idx="54">
                  <c:v>가공우유</c:v>
                </c:pt>
                <c:pt idx="55">
                  <c:v>조리냉동</c:v>
                </c:pt>
                <c:pt idx="56">
                  <c:v>푸드 간편식</c:v>
                </c:pt>
                <c:pt idx="57">
                  <c:v>냉장베이커리</c:v>
                </c:pt>
                <c:pt idx="58">
                  <c:v>컵커피</c:v>
                </c:pt>
                <c:pt idx="59">
                  <c:v>주스</c:v>
                </c:pt>
                <c:pt idx="60">
                  <c:v>냉동만두</c:v>
                </c:pt>
                <c:pt idx="61">
                  <c:v>육포</c:v>
                </c:pt>
                <c:pt idx="62">
                  <c:v>오징어</c:v>
                </c:pt>
                <c:pt idx="63">
                  <c:v>냉장주스</c:v>
                </c:pt>
                <c:pt idx="64">
                  <c:v>냉장안주</c:v>
                </c:pt>
                <c:pt idx="65">
                  <c:v>프로틴/시리얼</c:v>
                </c:pt>
                <c:pt idx="66">
                  <c:v>요구르트</c:v>
                </c:pt>
                <c:pt idx="67">
                  <c:v>생선류</c:v>
                </c:pt>
                <c:pt idx="68">
                  <c:v>기능성우유</c:v>
                </c:pt>
                <c:pt idx="69">
                  <c:v>스낵안주</c:v>
                </c:pt>
                <c:pt idx="70">
                  <c:v>햄버거</c:v>
                </c:pt>
                <c:pt idx="71">
                  <c:v>가공미반류</c:v>
                </c:pt>
                <c:pt idx="72">
                  <c:v>호빵</c:v>
                </c:pt>
                <c:pt idx="73">
                  <c:v>젤리</c:v>
                </c:pt>
                <c:pt idx="74">
                  <c:v>쨈/꿀</c:v>
                </c:pt>
                <c:pt idx="75">
                  <c:v>샐러드 </c:v>
                </c:pt>
                <c:pt idx="76">
                  <c:v>샐러드모닝랩</c:v>
                </c:pt>
                <c:pt idx="77">
                  <c:v>식용유지</c:v>
                </c:pt>
                <c:pt idx="78">
                  <c:v>냉장간식</c:v>
                </c:pt>
                <c:pt idx="79">
                  <c:v>두유</c:v>
                </c:pt>
                <c:pt idx="80">
                  <c:v>농산안주</c:v>
                </c:pt>
                <c:pt idx="81">
                  <c:v>구움과자</c:v>
                </c:pt>
                <c:pt idx="82">
                  <c:v>삼각김밥</c:v>
                </c:pt>
                <c:pt idx="83">
                  <c:v>식빵</c:v>
                </c:pt>
                <c:pt idx="84">
                  <c:v>초밥류</c:v>
                </c:pt>
                <c:pt idx="85">
                  <c:v>차음료</c:v>
                </c:pt>
                <c:pt idx="86">
                  <c:v>냉장피자</c:v>
                </c:pt>
                <c:pt idx="87">
                  <c:v>김밥</c:v>
                </c:pt>
                <c:pt idx="88">
                  <c:v>흰우유</c:v>
                </c:pt>
                <c:pt idx="89">
                  <c:v>유제품</c:v>
                </c:pt>
              </c:strCache>
            </c:strRef>
          </c:cat>
          <c:val>
            <c:numRef>
              <c:f>분포분석_파레토!$T$2:$T$91</c:f>
              <c:numCache>
                <c:formatCode>0.00</c:formatCode>
                <c:ptCount val="90"/>
                <c:pt idx="0">
                  <c:v>0.96712658107641281</c:v>
                </c:pt>
                <c:pt idx="1">
                  <c:v>0.96712658107641281</c:v>
                </c:pt>
                <c:pt idx="2">
                  <c:v>0.96712658107641281</c:v>
                </c:pt>
                <c:pt idx="3">
                  <c:v>0.96712658107641281</c:v>
                </c:pt>
                <c:pt idx="4">
                  <c:v>0.96712658107641281</c:v>
                </c:pt>
                <c:pt idx="5">
                  <c:v>0.96712658107641281</c:v>
                </c:pt>
                <c:pt idx="6">
                  <c:v>0.96712658107641281</c:v>
                </c:pt>
                <c:pt idx="7">
                  <c:v>0.96712658107641281</c:v>
                </c:pt>
                <c:pt idx="8">
                  <c:v>0.96712658107641281</c:v>
                </c:pt>
                <c:pt idx="9">
                  <c:v>0.96712658107641281</c:v>
                </c:pt>
                <c:pt idx="10">
                  <c:v>0.96712658107641281</c:v>
                </c:pt>
                <c:pt idx="11">
                  <c:v>0.96712658107641281</c:v>
                </c:pt>
                <c:pt idx="12">
                  <c:v>0.96712658107641281</c:v>
                </c:pt>
                <c:pt idx="13">
                  <c:v>0.96712658107641281</c:v>
                </c:pt>
                <c:pt idx="14">
                  <c:v>0.96712658107641281</c:v>
                </c:pt>
                <c:pt idx="15">
                  <c:v>0.96712658107641281</c:v>
                </c:pt>
                <c:pt idx="16">
                  <c:v>0.96712658107641281</c:v>
                </c:pt>
                <c:pt idx="17">
                  <c:v>0.96712658107641281</c:v>
                </c:pt>
                <c:pt idx="18">
                  <c:v>0.96712658107641281</c:v>
                </c:pt>
                <c:pt idx="19">
                  <c:v>0.96712658107641281</c:v>
                </c:pt>
                <c:pt idx="20">
                  <c:v>0.96712658107641281</c:v>
                </c:pt>
                <c:pt idx="21">
                  <c:v>0.96712658107641281</c:v>
                </c:pt>
                <c:pt idx="22">
                  <c:v>0.96712658107641281</c:v>
                </c:pt>
                <c:pt idx="23">
                  <c:v>0.96712658107641281</c:v>
                </c:pt>
                <c:pt idx="24">
                  <c:v>0.96712658107641281</c:v>
                </c:pt>
                <c:pt idx="25">
                  <c:v>0.96712658107641281</c:v>
                </c:pt>
                <c:pt idx="26">
                  <c:v>0.96712658107641281</c:v>
                </c:pt>
                <c:pt idx="27">
                  <c:v>0.96712658107641281</c:v>
                </c:pt>
                <c:pt idx="28">
                  <c:v>0.96712658107641281</c:v>
                </c:pt>
                <c:pt idx="29">
                  <c:v>0.96712658107641281</c:v>
                </c:pt>
                <c:pt idx="30">
                  <c:v>0.96712658107641281</c:v>
                </c:pt>
                <c:pt idx="31">
                  <c:v>0.96712658107641281</c:v>
                </c:pt>
                <c:pt idx="32">
                  <c:v>0.96712658107641281</c:v>
                </c:pt>
                <c:pt idx="33">
                  <c:v>0.96712658107641281</c:v>
                </c:pt>
                <c:pt idx="34">
                  <c:v>0.96712658107641281</c:v>
                </c:pt>
                <c:pt idx="35">
                  <c:v>0.96712658107641281</c:v>
                </c:pt>
                <c:pt idx="36">
                  <c:v>0.96712658107641281</c:v>
                </c:pt>
                <c:pt idx="37">
                  <c:v>0.96712658107641281</c:v>
                </c:pt>
                <c:pt idx="38">
                  <c:v>0.96712658107641281</c:v>
                </c:pt>
                <c:pt idx="39">
                  <c:v>0.96712658107641281</c:v>
                </c:pt>
                <c:pt idx="40">
                  <c:v>0.96712658107641281</c:v>
                </c:pt>
                <c:pt idx="41">
                  <c:v>0.96712658107641281</c:v>
                </c:pt>
                <c:pt idx="42">
                  <c:v>0.96712658107641281</c:v>
                </c:pt>
                <c:pt idx="43">
                  <c:v>0.96712658107641281</c:v>
                </c:pt>
                <c:pt idx="44">
                  <c:v>0.96712658107641281</c:v>
                </c:pt>
                <c:pt idx="45">
                  <c:v>0.96712658107641281</c:v>
                </c:pt>
                <c:pt idx="46">
                  <c:v>0.96712658107641281</c:v>
                </c:pt>
                <c:pt idx="47">
                  <c:v>0.96712658107641281</c:v>
                </c:pt>
                <c:pt idx="48">
                  <c:v>0.96712658107641281</c:v>
                </c:pt>
                <c:pt idx="49">
                  <c:v>0.96712658107641281</c:v>
                </c:pt>
                <c:pt idx="50">
                  <c:v>0.96712658107641281</c:v>
                </c:pt>
                <c:pt idx="51">
                  <c:v>0.96712658107641281</c:v>
                </c:pt>
                <c:pt idx="52">
                  <c:v>0.96712658107641281</c:v>
                </c:pt>
                <c:pt idx="53">
                  <c:v>0.96712658107641281</c:v>
                </c:pt>
                <c:pt idx="54">
                  <c:v>0.96712658107641281</c:v>
                </c:pt>
                <c:pt idx="55">
                  <c:v>0.96712658107641281</c:v>
                </c:pt>
                <c:pt idx="56">
                  <c:v>0.96712658107641281</c:v>
                </c:pt>
                <c:pt idx="57">
                  <c:v>0.96712658107641281</c:v>
                </c:pt>
                <c:pt idx="58">
                  <c:v>0.96712658107641281</c:v>
                </c:pt>
                <c:pt idx="59">
                  <c:v>0.96712658107641281</c:v>
                </c:pt>
                <c:pt idx="60">
                  <c:v>0.96712658107641281</c:v>
                </c:pt>
                <c:pt idx="61">
                  <c:v>0.96712658107641281</c:v>
                </c:pt>
                <c:pt idx="62">
                  <c:v>0.96712658107641281</c:v>
                </c:pt>
                <c:pt idx="63">
                  <c:v>0.96712658107641281</c:v>
                </c:pt>
                <c:pt idx="64">
                  <c:v>0.96712658107641281</c:v>
                </c:pt>
                <c:pt idx="65">
                  <c:v>0.96712658107641281</c:v>
                </c:pt>
                <c:pt idx="66">
                  <c:v>0.96712658107641281</c:v>
                </c:pt>
                <c:pt idx="67">
                  <c:v>0.96712658107641281</c:v>
                </c:pt>
                <c:pt idx="68">
                  <c:v>0.96712658107641281</c:v>
                </c:pt>
                <c:pt idx="69">
                  <c:v>0.96712658107641281</c:v>
                </c:pt>
                <c:pt idx="70">
                  <c:v>0.96712658107641281</c:v>
                </c:pt>
                <c:pt idx="71">
                  <c:v>0.96712658107641281</c:v>
                </c:pt>
                <c:pt idx="72">
                  <c:v>0.96712658107641281</c:v>
                </c:pt>
                <c:pt idx="73">
                  <c:v>0.96712658107641281</c:v>
                </c:pt>
                <c:pt idx="74">
                  <c:v>0.96712658107641281</c:v>
                </c:pt>
                <c:pt idx="75">
                  <c:v>0.96712658107641281</c:v>
                </c:pt>
                <c:pt idx="76">
                  <c:v>0.96712658107641281</c:v>
                </c:pt>
                <c:pt idx="77">
                  <c:v>0.96712658107641281</c:v>
                </c:pt>
                <c:pt idx="78">
                  <c:v>0.96712658107641281</c:v>
                </c:pt>
                <c:pt idx="79">
                  <c:v>0.96712658107641281</c:v>
                </c:pt>
                <c:pt idx="80">
                  <c:v>0.96712658107641281</c:v>
                </c:pt>
                <c:pt idx="81">
                  <c:v>0.96712658107641281</c:v>
                </c:pt>
                <c:pt idx="82">
                  <c:v>0.96712658107641281</c:v>
                </c:pt>
                <c:pt idx="83">
                  <c:v>0.96712658107641281</c:v>
                </c:pt>
                <c:pt idx="84">
                  <c:v>0.96712658107641281</c:v>
                </c:pt>
                <c:pt idx="85">
                  <c:v>0.96712658107641281</c:v>
                </c:pt>
                <c:pt idx="86">
                  <c:v>0.96712658107641281</c:v>
                </c:pt>
                <c:pt idx="87">
                  <c:v>0.96712658107641281</c:v>
                </c:pt>
                <c:pt idx="88">
                  <c:v>0.96712658107641281</c:v>
                </c:pt>
                <c:pt idx="89">
                  <c:v>0.96712658107641281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3B-462D-9C41-0211DF7CC139}"/>
            </c:ext>
          </c:extLst>
        </c:ser>
        <c:ser>
          <c:idx val="3"/>
          <c:order val="3"/>
          <c:tx>
            <c:strRef>
              <c:f>분포분석_파레토!$U$1</c:f>
              <c:strCache>
                <c:ptCount val="1"/>
                <c:pt idx="0">
                  <c:v>log10(36.2)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분포분석_파레토!$Q$2:$Q$91</c:f>
              <c:strCache>
                <c:ptCount val="90"/>
                <c:pt idx="0">
                  <c:v>스포츠음료</c:v>
                </c:pt>
                <c:pt idx="1">
                  <c:v>생수</c:v>
                </c:pt>
                <c:pt idx="2">
                  <c:v>미분류</c:v>
                </c:pt>
                <c:pt idx="3">
                  <c:v>고급</c:v>
                </c:pt>
                <c:pt idx="4">
                  <c:v>수입맥주</c:v>
                </c:pt>
                <c:pt idx="5">
                  <c:v>차</c:v>
                </c:pt>
                <c:pt idx="6">
                  <c:v>원컵</c:v>
                </c:pt>
                <c:pt idx="7">
                  <c:v>홈타입</c:v>
                </c:pt>
                <c:pt idx="8">
                  <c:v>시즌케익</c:v>
                </c:pt>
                <c:pt idx="9">
                  <c:v>막걸리</c:v>
                </c:pt>
                <c:pt idx="10">
                  <c:v>양주</c:v>
                </c:pt>
                <c:pt idx="11">
                  <c:v>컨셉카페</c:v>
                </c:pt>
                <c:pt idx="12">
                  <c:v>야채</c:v>
                </c:pt>
                <c:pt idx="13">
                  <c:v>봉지면</c:v>
                </c:pt>
                <c:pt idx="14">
                  <c:v>냉장간편식</c:v>
                </c:pt>
                <c:pt idx="15">
                  <c:v>너트류</c:v>
                </c:pt>
                <c:pt idx="16">
                  <c:v>조미료</c:v>
                </c:pt>
                <c:pt idx="17">
                  <c:v>소주</c:v>
                </c:pt>
                <c:pt idx="18">
                  <c:v>커피</c:v>
                </c:pt>
                <c:pt idx="19">
                  <c:v>상온간편식</c:v>
                </c:pt>
                <c:pt idx="20">
                  <c:v>전통음료</c:v>
                </c:pt>
                <c:pt idx="21">
                  <c:v>도시락</c:v>
                </c:pt>
                <c:pt idx="22">
                  <c:v>하이볼</c:v>
                </c:pt>
                <c:pt idx="23">
                  <c:v>건해산물</c:v>
                </c:pt>
                <c:pt idx="24">
                  <c:v>커피음료</c:v>
                </c:pt>
                <c:pt idx="25">
                  <c:v>건강/이너뷰티</c:v>
                </c:pt>
                <c:pt idx="26">
                  <c:v>수축산/계란</c:v>
                </c:pt>
                <c:pt idx="27">
                  <c:v>비스킷류</c:v>
                </c:pt>
                <c:pt idx="28">
                  <c:v>무알콜맥주</c:v>
                </c:pt>
                <c:pt idx="29">
                  <c:v>즉석치킨</c:v>
                </c:pt>
                <c:pt idx="30">
                  <c:v>초콜릿</c:v>
                </c:pt>
                <c:pt idx="31">
                  <c:v>쌀/잡곡</c:v>
                </c:pt>
                <c:pt idx="32">
                  <c:v>캔</c:v>
                </c:pt>
                <c:pt idx="33">
                  <c:v>신선냉동</c:v>
                </c:pt>
                <c:pt idx="34">
                  <c:v>기능성드링크</c:v>
                </c:pt>
                <c:pt idx="35">
                  <c:v>소스류</c:v>
                </c:pt>
                <c:pt idx="36">
                  <c:v>냉동간편식</c:v>
                </c:pt>
                <c:pt idx="37">
                  <c:v>떡</c:v>
                </c:pt>
                <c:pt idx="38">
                  <c:v>숙취해소제</c:v>
                </c:pt>
                <c:pt idx="39">
                  <c:v>젤리류</c:v>
                </c:pt>
                <c:pt idx="40">
                  <c:v>파우치</c:v>
                </c:pt>
                <c:pt idx="41">
                  <c:v>탄산음료</c:v>
                </c:pt>
                <c:pt idx="42">
                  <c:v>과일</c:v>
                </c:pt>
                <c:pt idx="43">
                  <c:v>샌드위치</c:v>
                </c:pt>
                <c:pt idx="44">
                  <c:v>선물세트</c:v>
                </c:pt>
                <c:pt idx="45">
                  <c:v>스낵류</c:v>
                </c:pt>
                <c:pt idx="46">
                  <c:v>리쿼</c:v>
                </c:pt>
                <c:pt idx="47">
                  <c:v>장류</c:v>
                </c:pt>
                <c:pt idx="48">
                  <c:v>즉석조리</c:v>
                </c:pt>
                <c:pt idx="49">
                  <c:v>용기면</c:v>
                </c:pt>
                <c:pt idx="50">
                  <c:v>껌</c:v>
                </c:pt>
                <c:pt idx="51">
                  <c:v>간식빵</c:v>
                </c:pt>
                <c:pt idx="52">
                  <c:v>프로틴 음료</c:v>
                </c:pt>
                <c:pt idx="53">
                  <c:v>선물세트 </c:v>
                </c:pt>
                <c:pt idx="54">
                  <c:v>가공우유</c:v>
                </c:pt>
                <c:pt idx="55">
                  <c:v>조리냉동</c:v>
                </c:pt>
                <c:pt idx="56">
                  <c:v>푸드 간편식</c:v>
                </c:pt>
                <c:pt idx="57">
                  <c:v>냉장베이커리</c:v>
                </c:pt>
                <c:pt idx="58">
                  <c:v>컵커피</c:v>
                </c:pt>
                <c:pt idx="59">
                  <c:v>주스</c:v>
                </c:pt>
                <c:pt idx="60">
                  <c:v>냉동만두</c:v>
                </c:pt>
                <c:pt idx="61">
                  <c:v>육포</c:v>
                </c:pt>
                <c:pt idx="62">
                  <c:v>오징어</c:v>
                </c:pt>
                <c:pt idx="63">
                  <c:v>냉장주스</c:v>
                </c:pt>
                <c:pt idx="64">
                  <c:v>냉장안주</c:v>
                </c:pt>
                <c:pt idx="65">
                  <c:v>프로틴/시리얼</c:v>
                </c:pt>
                <c:pt idx="66">
                  <c:v>요구르트</c:v>
                </c:pt>
                <c:pt idx="67">
                  <c:v>생선류</c:v>
                </c:pt>
                <c:pt idx="68">
                  <c:v>기능성우유</c:v>
                </c:pt>
                <c:pt idx="69">
                  <c:v>스낵안주</c:v>
                </c:pt>
                <c:pt idx="70">
                  <c:v>햄버거</c:v>
                </c:pt>
                <c:pt idx="71">
                  <c:v>가공미반류</c:v>
                </c:pt>
                <c:pt idx="72">
                  <c:v>호빵</c:v>
                </c:pt>
                <c:pt idx="73">
                  <c:v>젤리</c:v>
                </c:pt>
                <c:pt idx="74">
                  <c:v>쨈/꿀</c:v>
                </c:pt>
                <c:pt idx="75">
                  <c:v>샐러드 </c:v>
                </c:pt>
                <c:pt idx="76">
                  <c:v>샐러드모닝랩</c:v>
                </c:pt>
                <c:pt idx="77">
                  <c:v>식용유지</c:v>
                </c:pt>
                <c:pt idx="78">
                  <c:v>냉장간식</c:v>
                </c:pt>
                <c:pt idx="79">
                  <c:v>두유</c:v>
                </c:pt>
                <c:pt idx="80">
                  <c:v>농산안주</c:v>
                </c:pt>
                <c:pt idx="81">
                  <c:v>구움과자</c:v>
                </c:pt>
                <c:pt idx="82">
                  <c:v>삼각김밥</c:v>
                </c:pt>
                <c:pt idx="83">
                  <c:v>식빵</c:v>
                </c:pt>
                <c:pt idx="84">
                  <c:v>초밥류</c:v>
                </c:pt>
                <c:pt idx="85">
                  <c:v>차음료</c:v>
                </c:pt>
                <c:pt idx="86">
                  <c:v>냉장피자</c:v>
                </c:pt>
                <c:pt idx="87">
                  <c:v>김밥</c:v>
                </c:pt>
                <c:pt idx="88">
                  <c:v>흰우유</c:v>
                </c:pt>
                <c:pt idx="89">
                  <c:v>유제품</c:v>
                </c:pt>
              </c:strCache>
            </c:strRef>
          </c:cat>
          <c:val>
            <c:numRef>
              <c:f>분포분석_파레토!$U$2:$U$91</c:f>
              <c:numCache>
                <c:formatCode>0.00</c:formatCode>
                <c:ptCount val="90"/>
                <c:pt idx="0">
                  <c:v>1.5587085705331658</c:v>
                </c:pt>
                <c:pt idx="1">
                  <c:v>1.5587085705331658</c:v>
                </c:pt>
                <c:pt idx="2">
                  <c:v>1.5587085705331658</c:v>
                </c:pt>
                <c:pt idx="3">
                  <c:v>1.5587085705331658</c:v>
                </c:pt>
                <c:pt idx="4">
                  <c:v>1.5587085705331658</c:v>
                </c:pt>
                <c:pt idx="5">
                  <c:v>1.5587085705331658</c:v>
                </c:pt>
                <c:pt idx="6">
                  <c:v>1.5587085705331658</c:v>
                </c:pt>
                <c:pt idx="7">
                  <c:v>1.5587085705331658</c:v>
                </c:pt>
                <c:pt idx="8">
                  <c:v>1.5587085705331658</c:v>
                </c:pt>
                <c:pt idx="9">
                  <c:v>1.5587085705331658</c:v>
                </c:pt>
                <c:pt idx="10">
                  <c:v>1.5587085705331658</c:v>
                </c:pt>
                <c:pt idx="11">
                  <c:v>1.5587085705331658</c:v>
                </c:pt>
                <c:pt idx="12">
                  <c:v>1.5587085705331658</c:v>
                </c:pt>
                <c:pt idx="13">
                  <c:v>1.5587085705331658</c:v>
                </c:pt>
                <c:pt idx="14">
                  <c:v>1.5587085705331658</c:v>
                </c:pt>
                <c:pt idx="15">
                  <c:v>1.5587085705331658</c:v>
                </c:pt>
                <c:pt idx="16">
                  <c:v>1.5587085705331658</c:v>
                </c:pt>
                <c:pt idx="17">
                  <c:v>1.5587085705331658</c:v>
                </c:pt>
                <c:pt idx="18">
                  <c:v>1.5587085705331658</c:v>
                </c:pt>
                <c:pt idx="19">
                  <c:v>1.5587085705331658</c:v>
                </c:pt>
                <c:pt idx="20">
                  <c:v>1.5587085705331658</c:v>
                </c:pt>
                <c:pt idx="21">
                  <c:v>1.5587085705331658</c:v>
                </c:pt>
                <c:pt idx="22">
                  <c:v>1.5587085705331658</c:v>
                </c:pt>
                <c:pt idx="23">
                  <c:v>1.5587085705331658</c:v>
                </c:pt>
                <c:pt idx="24">
                  <c:v>1.5587085705331658</c:v>
                </c:pt>
                <c:pt idx="25">
                  <c:v>1.5587085705331658</c:v>
                </c:pt>
                <c:pt idx="26">
                  <c:v>1.5587085705331658</c:v>
                </c:pt>
                <c:pt idx="27">
                  <c:v>1.5587085705331658</c:v>
                </c:pt>
                <c:pt idx="28">
                  <c:v>1.5587085705331658</c:v>
                </c:pt>
                <c:pt idx="29">
                  <c:v>1.5587085705331658</c:v>
                </c:pt>
                <c:pt idx="30">
                  <c:v>1.5587085705331658</c:v>
                </c:pt>
                <c:pt idx="31">
                  <c:v>1.5587085705331658</c:v>
                </c:pt>
                <c:pt idx="32">
                  <c:v>1.5587085705331658</c:v>
                </c:pt>
                <c:pt idx="33">
                  <c:v>1.5587085705331658</c:v>
                </c:pt>
                <c:pt idx="34">
                  <c:v>1.5587085705331658</c:v>
                </c:pt>
                <c:pt idx="35">
                  <c:v>1.5587085705331658</c:v>
                </c:pt>
                <c:pt idx="36">
                  <c:v>1.5587085705331658</c:v>
                </c:pt>
                <c:pt idx="37">
                  <c:v>1.5587085705331658</c:v>
                </c:pt>
                <c:pt idx="38">
                  <c:v>1.5587085705331658</c:v>
                </c:pt>
                <c:pt idx="39">
                  <c:v>1.5587085705331658</c:v>
                </c:pt>
                <c:pt idx="40">
                  <c:v>1.5587085705331658</c:v>
                </c:pt>
                <c:pt idx="41">
                  <c:v>1.5587085705331658</c:v>
                </c:pt>
                <c:pt idx="42">
                  <c:v>1.5587085705331658</c:v>
                </c:pt>
                <c:pt idx="43">
                  <c:v>1.5587085705331658</c:v>
                </c:pt>
                <c:pt idx="44">
                  <c:v>1.5587085705331658</c:v>
                </c:pt>
                <c:pt idx="45">
                  <c:v>1.5587085705331658</c:v>
                </c:pt>
                <c:pt idx="46">
                  <c:v>1.5587085705331658</c:v>
                </c:pt>
                <c:pt idx="47">
                  <c:v>1.5587085705331658</c:v>
                </c:pt>
                <c:pt idx="48">
                  <c:v>1.5587085705331658</c:v>
                </c:pt>
                <c:pt idx="49">
                  <c:v>1.5587085705331658</c:v>
                </c:pt>
                <c:pt idx="50">
                  <c:v>1.5587085705331658</c:v>
                </c:pt>
                <c:pt idx="51">
                  <c:v>1.5587085705331658</c:v>
                </c:pt>
                <c:pt idx="52">
                  <c:v>1.5587085705331658</c:v>
                </c:pt>
                <c:pt idx="53">
                  <c:v>1.5587085705331658</c:v>
                </c:pt>
                <c:pt idx="54">
                  <c:v>1.5587085705331658</c:v>
                </c:pt>
                <c:pt idx="55">
                  <c:v>1.5587085705331658</c:v>
                </c:pt>
                <c:pt idx="56">
                  <c:v>1.5587085705331658</c:v>
                </c:pt>
                <c:pt idx="57">
                  <c:v>1.5587085705331658</c:v>
                </c:pt>
                <c:pt idx="58">
                  <c:v>1.5587085705331658</c:v>
                </c:pt>
                <c:pt idx="59">
                  <c:v>1.5587085705331658</c:v>
                </c:pt>
                <c:pt idx="60">
                  <c:v>1.5587085705331658</c:v>
                </c:pt>
                <c:pt idx="61">
                  <c:v>1.5587085705331658</c:v>
                </c:pt>
                <c:pt idx="62">
                  <c:v>1.5587085705331658</c:v>
                </c:pt>
                <c:pt idx="63">
                  <c:v>1.5587085705331658</c:v>
                </c:pt>
                <c:pt idx="64">
                  <c:v>1.5587085705331658</c:v>
                </c:pt>
                <c:pt idx="65">
                  <c:v>1.5587085705331658</c:v>
                </c:pt>
                <c:pt idx="66">
                  <c:v>1.5587085705331658</c:v>
                </c:pt>
                <c:pt idx="67">
                  <c:v>1.5587085705331658</c:v>
                </c:pt>
                <c:pt idx="68">
                  <c:v>1.5587085705331658</c:v>
                </c:pt>
                <c:pt idx="69">
                  <c:v>1.5587085705331658</c:v>
                </c:pt>
                <c:pt idx="70">
                  <c:v>1.5587085705331658</c:v>
                </c:pt>
                <c:pt idx="71">
                  <c:v>1.5587085705331658</c:v>
                </c:pt>
                <c:pt idx="72">
                  <c:v>1.5587085705331658</c:v>
                </c:pt>
                <c:pt idx="73">
                  <c:v>1.5587085705331658</c:v>
                </c:pt>
                <c:pt idx="74">
                  <c:v>1.5587085705331658</c:v>
                </c:pt>
                <c:pt idx="75">
                  <c:v>1.5587085705331658</c:v>
                </c:pt>
                <c:pt idx="76">
                  <c:v>1.5587085705331658</c:v>
                </c:pt>
                <c:pt idx="77">
                  <c:v>1.5587085705331658</c:v>
                </c:pt>
                <c:pt idx="78">
                  <c:v>1.5587085705331658</c:v>
                </c:pt>
                <c:pt idx="79">
                  <c:v>1.5587085705331658</c:v>
                </c:pt>
                <c:pt idx="80">
                  <c:v>1.5587085705331658</c:v>
                </c:pt>
                <c:pt idx="81">
                  <c:v>1.5587085705331658</c:v>
                </c:pt>
                <c:pt idx="82">
                  <c:v>1.5587085705331658</c:v>
                </c:pt>
                <c:pt idx="83">
                  <c:v>1.5587085705331658</c:v>
                </c:pt>
                <c:pt idx="84">
                  <c:v>1.5587085705331658</c:v>
                </c:pt>
                <c:pt idx="85">
                  <c:v>1.5587085705331658</c:v>
                </c:pt>
                <c:pt idx="86">
                  <c:v>1.5587085705331658</c:v>
                </c:pt>
                <c:pt idx="87">
                  <c:v>1.5587085705331658</c:v>
                </c:pt>
                <c:pt idx="88">
                  <c:v>1.5587085705331658</c:v>
                </c:pt>
                <c:pt idx="89">
                  <c:v>1.5587085705331658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3B-462D-9C41-0211DF7CC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047919"/>
        <c:axId val="217046959"/>
      </c:lineChart>
      <c:catAx>
        <c:axId val="21704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7046959"/>
        <c:crosses val="autoZero"/>
        <c:auto val="1"/>
        <c:lblAlgn val="ctr"/>
        <c:lblOffset val="100"/>
        <c:noMultiLvlLbl val="0"/>
      </c:catAx>
      <c:valAx>
        <c:axId val="21704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log10(</a:t>
                </a:r>
                <a:r>
                  <a:rPr lang="ko-KR" altLang="en-US"/>
                  <a:t>비율</a:t>
                </a:r>
                <a:r>
                  <a:rPr lang="en-US" altLang="ko-KR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704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685799</xdr:colOff>
      <xdr:row>1</xdr:row>
      <xdr:rowOff>0</xdr:rowOff>
    </xdr:from>
    <xdr:to>
      <xdr:col>43</xdr:col>
      <xdr:colOff>685799</xdr:colOff>
      <xdr:row>29</xdr:row>
      <xdr:rowOff>169863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447BE0B-56E0-63FA-568B-2772ACF6A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685799</xdr:colOff>
      <xdr:row>30</xdr:row>
      <xdr:rowOff>169862</xdr:rowOff>
    </xdr:from>
    <xdr:to>
      <xdr:col>43</xdr:col>
      <xdr:colOff>685799</xdr:colOff>
      <xdr:row>59</xdr:row>
      <xdr:rowOff>123825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B8B983D0-2772-B3FF-24CA-DC9D196BE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DD49ED-0016-4BEB-A485-4D4C925B3484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fb082ae8-05a2-4550-b0ec-324acd82a2a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FFED-CEA2-4626-A502-79F868773FE6}">
  <dimension ref="A1:G91"/>
  <sheetViews>
    <sheetView tabSelected="1" workbookViewId="0">
      <selection activeCell="G8" sqref="G8"/>
    </sheetView>
  </sheetViews>
  <sheetFormatPr defaultRowHeight="16.899999999999999" x14ac:dyDescent="0.6"/>
  <sheetData>
    <row r="1" spans="1: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s="12" t="s">
        <v>127</v>
      </c>
      <c r="G1" s="14" t="s">
        <v>128</v>
      </c>
    </row>
    <row r="2" spans="1:7" x14ac:dyDescent="0.6">
      <c r="A2" t="s">
        <v>94</v>
      </c>
      <c r="B2">
        <v>2667214.75</v>
      </c>
      <c r="C2">
        <v>4000</v>
      </c>
      <c r="D2">
        <v>8</v>
      </c>
      <c r="E2">
        <v>666.80368750000002</v>
      </c>
      <c r="F2" s="13" t="str">
        <f>IF(E2&gt;9.271,"★","")</f>
        <v>★</v>
      </c>
      <c r="G2" s="13"/>
    </row>
    <row r="3" spans="1:7" x14ac:dyDescent="0.6">
      <c r="A3" t="s">
        <v>93</v>
      </c>
      <c r="B3">
        <v>736892.875</v>
      </c>
      <c r="C3">
        <v>6500</v>
      </c>
      <c r="D3">
        <v>19</v>
      </c>
      <c r="E3">
        <v>113.36813461538461</v>
      </c>
      <c r="F3" s="13" t="str">
        <f>IF(E3&gt;9.271,"★","")</f>
        <v>★</v>
      </c>
      <c r="G3" s="13"/>
    </row>
    <row r="4" spans="1:7" x14ac:dyDescent="0.6">
      <c r="A4" t="s">
        <v>92</v>
      </c>
      <c r="B4">
        <v>512824.8125</v>
      </c>
      <c r="C4">
        <v>9400</v>
      </c>
      <c r="D4">
        <v>136</v>
      </c>
      <c r="E4">
        <v>54.555831117021278</v>
      </c>
      <c r="F4" s="13" t="str">
        <f>IF(E4&gt;9.271,"★","")</f>
        <v>★</v>
      </c>
      <c r="G4" s="13"/>
    </row>
    <row r="5" spans="1:7" x14ac:dyDescent="0.6">
      <c r="A5" t="s">
        <v>91</v>
      </c>
      <c r="B5">
        <v>362535.21875</v>
      </c>
      <c r="C5">
        <v>18085</v>
      </c>
      <c r="D5">
        <v>67</v>
      </c>
      <c r="E5">
        <v>20.046182955487971</v>
      </c>
      <c r="F5" s="13" t="str">
        <f>IF(E5&gt;9.271,"★","")</f>
        <v>★</v>
      </c>
      <c r="G5" s="13"/>
    </row>
    <row r="6" spans="1:7" x14ac:dyDescent="0.6">
      <c r="A6" t="s">
        <v>90</v>
      </c>
      <c r="B6">
        <v>1220219.5</v>
      </c>
      <c r="C6">
        <v>63494</v>
      </c>
      <c r="D6">
        <v>71</v>
      </c>
      <c r="E6">
        <v>19.21787097993511</v>
      </c>
      <c r="F6" s="13" t="str">
        <f>IF(E6&gt;9.271,"★","")</f>
        <v>★</v>
      </c>
      <c r="G6" s="13"/>
    </row>
    <row r="7" spans="1:7" x14ac:dyDescent="0.6">
      <c r="A7" t="s">
        <v>89</v>
      </c>
      <c r="B7">
        <v>118398.7109375</v>
      </c>
      <c r="C7">
        <v>7750</v>
      </c>
      <c r="D7">
        <v>14</v>
      </c>
      <c r="E7">
        <v>15.27725302419355</v>
      </c>
      <c r="F7" s="13" t="str">
        <f>IF(E7&gt;9.271,"★","")</f>
        <v>★</v>
      </c>
      <c r="G7" s="13"/>
    </row>
    <row r="8" spans="1:7" x14ac:dyDescent="0.6">
      <c r="A8" t="s">
        <v>88</v>
      </c>
      <c r="B8">
        <v>47761.66796875</v>
      </c>
      <c r="C8">
        <v>3300</v>
      </c>
      <c r="D8">
        <v>6</v>
      </c>
      <c r="E8">
        <v>14.473232717803031</v>
      </c>
      <c r="F8" s="13" t="str">
        <f>IF(E8&gt;9.271,"★","")</f>
        <v>★</v>
      </c>
      <c r="G8" s="13"/>
    </row>
    <row r="9" spans="1:7" x14ac:dyDescent="0.6">
      <c r="A9" t="s">
        <v>87</v>
      </c>
      <c r="B9">
        <v>76194.6015625</v>
      </c>
      <c r="C9">
        <v>7800</v>
      </c>
      <c r="D9">
        <v>20</v>
      </c>
      <c r="E9">
        <v>9.7685386618589742</v>
      </c>
      <c r="F9" s="13" t="str">
        <f>IF(E9&gt;9.271,"★","")</f>
        <v>★</v>
      </c>
      <c r="G9" s="13"/>
    </row>
    <row r="10" spans="1:7" x14ac:dyDescent="0.6">
      <c r="A10" t="s">
        <v>86</v>
      </c>
      <c r="B10">
        <v>871717.8125</v>
      </c>
      <c r="C10">
        <v>99000</v>
      </c>
      <c r="D10">
        <v>16</v>
      </c>
      <c r="E10">
        <v>8.80523042929293</v>
      </c>
      <c r="F10" s="13" t="str">
        <f>IF(E10&gt;9.271,"★","")</f>
        <v/>
      </c>
      <c r="G10" s="13"/>
    </row>
    <row r="11" spans="1:7" x14ac:dyDescent="0.6">
      <c r="A11" t="s">
        <v>85</v>
      </c>
      <c r="B11">
        <v>821350.6875</v>
      </c>
      <c r="C11">
        <v>94250</v>
      </c>
      <c r="D11">
        <v>14</v>
      </c>
      <c r="E11">
        <v>8.7145961538461538</v>
      </c>
      <c r="F11" s="13" t="str">
        <f>IF(E11&gt;9.271,"★","")</f>
        <v/>
      </c>
      <c r="G11" s="13"/>
    </row>
    <row r="12" spans="1:7" x14ac:dyDescent="0.6">
      <c r="A12" s="1" t="s">
        <v>84</v>
      </c>
      <c r="B12">
        <v>1167300.75</v>
      </c>
      <c r="C12">
        <v>143700</v>
      </c>
      <c r="D12">
        <v>153</v>
      </c>
      <c r="E12">
        <v>8.1231784968684764</v>
      </c>
      <c r="F12" s="13" t="str">
        <f>IF(E12&gt;9.271,"★","")</f>
        <v/>
      </c>
      <c r="G12" s="13" t="s">
        <v>129</v>
      </c>
    </row>
    <row r="13" spans="1:7" x14ac:dyDescent="0.6">
      <c r="A13" t="s">
        <v>83</v>
      </c>
      <c r="B13">
        <v>280275.1875</v>
      </c>
      <c r="C13">
        <v>34882</v>
      </c>
      <c r="D13">
        <v>22</v>
      </c>
      <c r="E13">
        <v>8.034951765953787</v>
      </c>
      <c r="F13" s="13" t="str">
        <f>IF(E13&gt;9.271,"★","")</f>
        <v/>
      </c>
      <c r="G13" s="13"/>
    </row>
    <row r="14" spans="1:7" x14ac:dyDescent="0.6">
      <c r="A14" t="s">
        <v>82</v>
      </c>
      <c r="B14">
        <v>112679.25</v>
      </c>
      <c r="C14">
        <v>17710</v>
      </c>
      <c r="D14">
        <v>52</v>
      </c>
      <c r="E14">
        <v>6.3624647092038398</v>
      </c>
      <c r="F14" s="13" t="str">
        <f>IF(E14&gt;9.271,"★","")</f>
        <v/>
      </c>
      <c r="G14" s="13"/>
    </row>
    <row r="15" spans="1:7" x14ac:dyDescent="0.6">
      <c r="A15" t="s">
        <v>81</v>
      </c>
      <c r="B15">
        <v>517559.5</v>
      </c>
      <c r="C15">
        <v>105900</v>
      </c>
      <c r="D15">
        <v>39</v>
      </c>
      <c r="E15">
        <v>4.8872474032105764</v>
      </c>
      <c r="F15" s="13" t="str">
        <f>IF(E15&gt;9.271,"★","")</f>
        <v/>
      </c>
      <c r="G15" s="13"/>
    </row>
    <row r="16" spans="1:7" x14ac:dyDescent="0.6">
      <c r="A16" s="1" t="s">
        <v>80</v>
      </c>
      <c r="B16">
        <v>675374.9375</v>
      </c>
      <c r="C16">
        <v>149800</v>
      </c>
      <c r="D16">
        <v>53</v>
      </c>
      <c r="E16">
        <v>4.5085109312416556</v>
      </c>
      <c r="F16" s="13" t="str">
        <f>IF(E16&gt;9.271,"★","")</f>
        <v/>
      </c>
      <c r="G16" s="13" t="s">
        <v>129</v>
      </c>
    </row>
    <row r="17" spans="1:7" x14ac:dyDescent="0.6">
      <c r="A17" t="s">
        <v>79</v>
      </c>
      <c r="B17">
        <v>225573.265625</v>
      </c>
      <c r="C17">
        <v>52692</v>
      </c>
      <c r="D17">
        <v>11</v>
      </c>
      <c r="E17">
        <v>4.2809774847225386</v>
      </c>
      <c r="F17" s="13" t="str">
        <f>IF(E17&gt;9.271,"★","")</f>
        <v/>
      </c>
      <c r="G17" s="13"/>
    </row>
    <row r="18" spans="1:7" x14ac:dyDescent="0.6">
      <c r="A18" t="s">
        <v>78</v>
      </c>
      <c r="B18">
        <v>19135.916015625</v>
      </c>
      <c r="C18">
        <v>4500</v>
      </c>
      <c r="D18">
        <v>12</v>
      </c>
      <c r="E18">
        <v>4.2524257812500004</v>
      </c>
      <c r="F18" s="13" t="str">
        <f>IF(E18&gt;9.271,"★","")</f>
        <v/>
      </c>
      <c r="G18" s="13"/>
    </row>
    <row r="19" spans="1:7" x14ac:dyDescent="0.6">
      <c r="A19" t="s">
        <v>77</v>
      </c>
      <c r="B19">
        <v>152746.671875</v>
      </c>
      <c r="C19">
        <v>36000</v>
      </c>
      <c r="D19">
        <v>45</v>
      </c>
      <c r="E19">
        <v>4.2429631076388894</v>
      </c>
      <c r="F19" s="13" t="str">
        <f>IF(E19&gt;9.271,"★","")</f>
        <v/>
      </c>
      <c r="G19" s="13"/>
    </row>
    <row r="20" spans="1:7" x14ac:dyDescent="0.6">
      <c r="A20" s="1" t="s">
        <v>76</v>
      </c>
      <c r="B20">
        <v>78867.7890625</v>
      </c>
      <c r="C20">
        <v>19200</v>
      </c>
      <c r="D20">
        <v>14</v>
      </c>
      <c r="E20">
        <v>4.1076973470052076</v>
      </c>
      <c r="F20" s="13" t="str">
        <f>IF(E20&gt;9.271,"★","")</f>
        <v/>
      </c>
      <c r="G20" s="13" t="s">
        <v>129</v>
      </c>
    </row>
    <row r="21" spans="1:7" x14ac:dyDescent="0.6">
      <c r="A21" s="1" t="s">
        <v>75</v>
      </c>
      <c r="B21">
        <v>295813.65625</v>
      </c>
      <c r="C21">
        <v>73548.5</v>
      </c>
      <c r="D21">
        <v>12</v>
      </c>
      <c r="E21">
        <v>4.0220216081905136</v>
      </c>
      <c r="F21" s="13" t="str">
        <f>IF(E21&gt;9.271,"★","")</f>
        <v/>
      </c>
      <c r="G21" s="13" t="s">
        <v>129</v>
      </c>
    </row>
    <row r="22" spans="1:7" x14ac:dyDescent="0.6">
      <c r="A22" t="s">
        <v>74</v>
      </c>
      <c r="B22">
        <v>1857897.375</v>
      </c>
      <c r="C22">
        <v>506833.5</v>
      </c>
      <c r="D22">
        <v>8</v>
      </c>
      <c r="E22">
        <v>3.665695687045154</v>
      </c>
      <c r="F22" s="13" t="str">
        <f>IF(E22&gt;9.271,"★","")</f>
        <v/>
      </c>
      <c r="G22" s="13"/>
    </row>
    <row r="23" spans="1:7" x14ac:dyDescent="0.6">
      <c r="A23" s="1" t="s">
        <v>73</v>
      </c>
      <c r="B23">
        <v>10105147</v>
      </c>
      <c r="C23">
        <v>3011429</v>
      </c>
      <c r="D23">
        <v>83</v>
      </c>
      <c r="E23">
        <v>3.3555986211197411</v>
      </c>
      <c r="F23" s="13" t="str">
        <f>IF(E23&gt;9.271,"★","")</f>
        <v/>
      </c>
      <c r="G23" s="13" t="s">
        <v>129</v>
      </c>
    </row>
    <row r="24" spans="1:7" x14ac:dyDescent="0.6">
      <c r="A24" s="1" t="s">
        <v>72</v>
      </c>
      <c r="B24">
        <v>3378369.25</v>
      </c>
      <c r="C24">
        <v>1043000</v>
      </c>
      <c r="D24">
        <v>26</v>
      </c>
      <c r="E24">
        <v>3.2390884467881111</v>
      </c>
      <c r="F24" s="13" t="str">
        <f>IF(E24&gt;9.271,"★","")</f>
        <v/>
      </c>
      <c r="G24" s="13" t="s">
        <v>129</v>
      </c>
    </row>
    <row r="25" spans="1:7" x14ac:dyDescent="0.6">
      <c r="A25" s="1" t="s">
        <v>71</v>
      </c>
      <c r="B25">
        <v>244812</v>
      </c>
      <c r="C25">
        <v>78740.5</v>
      </c>
      <c r="D25">
        <v>8</v>
      </c>
      <c r="E25">
        <v>3.109098875419892</v>
      </c>
      <c r="F25" s="13" t="str">
        <f>IF(E25&gt;9.271,"★","")</f>
        <v/>
      </c>
      <c r="G25" s="13" t="s">
        <v>129</v>
      </c>
    </row>
    <row r="26" spans="1:7" x14ac:dyDescent="0.6">
      <c r="A26" s="1" t="s">
        <v>70</v>
      </c>
      <c r="B26">
        <v>1179927</v>
      </c>
      <c r="C26">
        <v>392369</v>
      </c>
      <c r="D26">
        <v>19</v>
      </c>
      <c r="E26">
        <v>3.007187112131692</v>
      </c>
      <c r="F26" s="13" t="str">
        <f>IF(E26&gt;9.271,"★","")</f>
        <v/>
      </c>
      <c r="G26" s="13" t="s">
        <v>129</v>
      </c>
    </row>
    <row r="27" spans="1:7" x14ac:dyDescent="0.6">
      <c r="A27" t="s">
        <v>69</v>
      </c>
      <c r="B27">
        <v>411018.4375</v>
      </c>
      <c r="C27">
        <v>138947</v>
      </c>
      <c r="D27">
        <v>40</v>
      </c>
      <c r="E27">
        <v>2.9580950830172661</v>
      </c>
      <c r="F27" s="13" t="str">
        <f>IF(E27&gt;9.271,"★","")</f>
        <v/>
      </c>
      <c r="G27" s="13"/>
    </row>
    <row r="28" spans="1:7" x14ac:dyDescent="0.6">
      <c r="A28" t="s">
        <v>68</v>
      </c>
      <c r="B28">
        <v>318030.15625</v>
      </c>
      <c r="C28">
        <v>111600</v>
      </c>
      <c r="D28">
        <v>41</v>
      </c>
      <c r="E28">
        <v>2.8497325828853048</v>
      </c>
      <c r="F28" s="13" t="str">
        <f>IF(E28&gt;9.271,"★","")</f>
        <v/>
      </c>
      <c r="G28" s="13"/>
    </row>
    <row r="29" spans="1:7" x14ac:dyDescent="0.6">
      <c r="A29" s="1" t="s">
        <v>67</v>
      </c>
      <c r="B29">
        <v>1992013.625</v>
      </c>
      <c r="C29">
        <v>705734</v>
      </c>
      <c r="D29">
        <v>309</v>
      </c>
      <c r="E29">
        <v>2.8226125211481952</v>
      </c>
      <c r="F29" s="13" t="str">
        <f>IF(E29&gt;9.271,"★","")</f>
        <v/>
      </c>
      <c r="G29" s="13" t="s">
        <v>129</v>
      </c>
    </row>
    <row r="30" spans="1:7" x14ac:dyDescent="0.6">
      <c r="A30" t="s">
        <v>66</v>
      </c>
      <c r="B30">
        <v>244660.53125</v>
      </c>
      <c r="C30">
        <v>89400</v>
      </c>
      <c r="D30">
        <v>19</v>
      </c>
      <c r="E30">
        <v>2.7366949804250562</v>
      </c>
      <c r="F30" s="13" t="str">
        <f>IF(E30&gt;9.271,"★","")</f>
        <v/>
      </c>
      <c r="G30" s="13"/>
    </row>
    <row r="31" spans="1:7" x14ac:dyDescent="0.6">
      <c r="A31" s="1" t="s">
        <v>65</v>
      </c>
      <c r="B31">
        <v>1511185.25</v>
      </c>
      <c r="C31">
        <v>552936</v>
      </c>
      <c r="D31">
        <v>16</v>
      </c>
      <c r="E31">
        <v>2.733020186784727</v>
      </c>
      <c r="F31" s="13" t="str">
        <f>IF(E31&gt;9.271,"★","")</f>
        <v/>
      </c>
      <c r="G31" s="13" t="s">
        <v>129</v>
      </c>
    </row>
    <row r="32" spans="1:7" x14ac:dyDescent="0.6">
      <c r="A32" s="1" t="s">
        <v>64</v>
      </c>
      <c r="B32">
        <v>1270926.625</v>
      </c>
      <c r="C32">
        <v>491401</v>
      </c>
      <c r="D32">
        <v>211</v>
      </c>
      <c r="E32">
        <v>2.5863330050203399</v>
      </c>
      <c r="F32" s="13" t="str">
        <f>IF(E32&gt;9.271,"★","")</f>
        <v/>
      </c>
      <c r="G32" s="13" t="s">
        <v>129</v>
      </c>
    </row>
    <row r="33" spans="1:7" x14ac:dyDescent="0.6">
      <c r="A33" t="s">
        <v>63</v>
      </c>
      <c r="B33">
        <v>124310</v>
      </c>
      <c r="C33">
        <v>49000</v>
      </c>
      <c r="D33">
        <v>6</v>
      </c>
      <c r="E33">
        <v>2.5369387755102042</v>
      </c>
      <c r="F33" s="13" t="str">
        <f>IF(E33&gt;9.271,"★","")</f>
        <v/>
      </c>
      <c r="G33" s="13"/>
    </row>
    <row r="34" spans="1:7" x14ac:dyDescent="0.6">
      <c r="A34" s="1" t="s">
        <v>62</v>
      </c>
      <c r="B34">
        <v>37517.16015625</v>
      </c>
      <c r="C34">
        <v>15000</v>
      </c>
      <c r="D34">
        <v>25</v>
      </c>
      <c r="E34">
        <v>2.5011440104166671</v>
      </c>
      <c r="F34" s="13" t="str">
        <f>IF(E34&gt;9.271,"★","")</f>
        <v/>
      </c>
      <c r="G34" s="13" t="s">
        <v>129</v>
      </c>
    </row>
    <row r="35" spans="1:7" x14ac:dyDescent="0.6">
      <c r="A35" t="s">
        <v>61</v>
      </c>
      <c r="B35">
        <v>338221.3125</v>
      </c>
      <c r="C35">
        <v>136840</v>
      </c>
      <c r="D35">
        <v>42</v>
      </c>
      <c r="E35">
        <v>2.4716553091201399</v>
      </c>
      <c r="F35" s="13" t="str">
        <f>IF(E35&gt;9.271,"★","")</f>
        <v/>
      </c>
      <c r="G35" s="13"/>
    </row>
    <row r="36" spans="1:7" x14ac:dyDescent="0.6">
      <c r="A36" s="1" t="s">
        <v>60</v>
      </c>
      <c r="B36">
        <v>2812911.25</v>
      </c>
      <c r="C36">
        <v>1174303</v>
      </c>
      <c r="D36">
        <v>55</v>
      </c>
      <c r="E36">
        <v>2.395387945019301</v>
      </c>
      <c r="F36" s="13" t="str">
        <f>IF(E36&gt;9.271,"★","")</f>
        <v/>
      </c>
      <c r="G36" s="13" t="s">
        <v>129</v>
      </c>
    </row>
    <row r="37" spans="1:7" x14ac:dyDescent="0.6">
      <c r="A37" t="s">
        <v>59</v>
      </c>
      <c r="B37">
        <v>48302.70703125</v>
      </c>
      <c r="C37">
        <v>21600</v>
      </c>
      <c r="D37">
        <v>24</v>
      </c>
      <c r="E37">
        <v>2.2362364366319438</v>
      </c>
      <c r="F37" s="13" t="str">
        <f>IF(E37&gt;9.271,"★","")</f>
        <v/>
      </c>
      <c r="G37" s="13"/>
    </row>
    <row r="38" spans="1:7" x14ac:dyDescent="0.6">
      <c r="A38" s="1" t="s">
        <v>58</v>
      </c>
      <c r="B38">
        <v>151055.8125</v>
      </c>
      <c r="C38">
        <v>71218.5</v>
      </c>
      <c r="D38">
        <v>16</v>
      </c>
      <c r="E38">
        <v>2.1210192927399478</v>
      </c>
      <c r="F38" s="13" t="str">
        <f>IF(E38&gt;9.271,"★","")</f>
        <v/>
      </c>
      <c r="G38" s="13" t="s">
        <v>129</v>
      </c>
    </row>
    <row r="39" spans="1:7" x14ac:dyDescent="0.6">
      <c r="A39" s="1" t="s">
        <v>57</v>
      </c>
      <c r="B39">
        <v>702932.75</v>
      </c>
      <c r="C39">
        <v>340476</v>
      </c>
      <c r="D39">
        <v>18</v>
      </c>
      <c r="E39">
        <v>2.0645588822707031</v>
      </c>
      <c r="F39" s="13" t="str">
        <f>IF(E39&gt;9.271,"★","")</f>
        <v/>
      </c>
      <c r="G39" s="13" t="s">
        <v>129</v>
      </c>
    </row>
    <row r="40" spans="1:7" x14ac:dyDescent="0.6">
      <c r="A40" t="s">
        <v>56</v>
      </c>
      <c r="B40">
        <v>1095265.25</v>
      </c>
      <c r="C40">
        <v>535050</v>
      </c>
      <c r="D40">
        <v>10</v>
      </c>
      <c r="E40">
        <v>2.0470334548173068</v>
      </c>
      <c r="F40" s="13" t="str">
        <f>IF(E40&gt;9.271,"★","")</f>
        <v/>
      </c>
      <c r="G40" s="13"/>
    </row>
    <row r="41" spans="1:7" x14ac:dyDescent="0.6">
      <c r="A41" s="1" t="s">
        <v>55</v>
      </c>
      <c r="B41">
        <v>1366244.5</v>
      </c>
      <c r="C41">
        <v>677517</v>
      </c>
      <c r="D41">
        <v>144</v>
      </c>
      <c r="E41">
        <v>2.016546448281002</v>
      </c>
      <c r="F41" s="13" t="str">
        <f>IF(E41&gt;9.271,"★","")</f>
        <v/>
      </c>
      <c r="G41" s="13" t="s">
        <v>129</v>
      </c>
    </row>
    <row r="42" spans="1:7" x14ac:dyDescent="0.6">
      <c r="A42" t="s">
        <v>54</v>
      </c>
      <c r="B42">
        <v>585120</v>
      </c>
      <c r="C42">
        <v>294992.5</v>
      </c>
      <c r="D42">
        <v>38</v>
      </c>
      <c r="E42">
        <v>1.983508055289541</v>
      </c>
      <c r="F42" s="13" t="str">
        <f>IF(E42&gt;9.271,"★","")</f>
        <v/>
      </c>
      <c r="G42" s="13"/>
    </row>
    <row r="43" spans="1:7" x14ac:dyDescent="0.6">
      <c r="A43" t="s">
        <v>53</v>
      </c>
      <c r="B43">
        <v>1964291.125</v>
      </c>
      <c r="C43">
        <v>1037087</v>
      </c>
      <c r="D43">
        <v>57</v>
      </c>
      <c r="E43">
        <v>1.8940466180754361</v>
      </c>
      <c r="F43" s="13" t="str">
        <f>IF(E43&gt;9.271,"★","")</f>
        <v/>
      </c>
      <c r="G43" s="13"/>
    </row>
    <row r="44" spans="1:7" x14ac:dyDescent="0.6">
      <c r="A44" t="s">
        <v>52</v>
      </c>
      <c r="B44">
        <v>449449.875</v>
      </c>
      <c r="C44">
        <v>237636</v>
      </c>
      <c r="D44">
        <v>104</v>
      </c>
      <c r="E44">
        <v>1.891337486744433</v>
      </c>
      <c r="F44" s="13" t="str">
        <f>IF(E44&gt;9.271,"★","")</f>
        <v/>
      </c>
      <c r="G44" s="13"/>
    </row>
    <row r="45" spans="1:7" x14ac:dyDescent="0.6">
      <c r="A45" s="1" t="s">
        <v>51</v>
      </c>
      <c r="B45">
        <v>7034280</v>
      </c>
      <c r="C45">
        <v>4074577</v>
      </c>
      <c r="D45">
        <v>69</v>
      </c>
      <c r="E45">
        <v>1.726382885879933</v>
      </c>
      <c r="F45" s="13" t="str">
        <f>IF(E45&gt;9.271,"★","")</f>
        <v/>
      </c>
      <c r="G45" s="13" t="s">
        <v>129</v>
      </c>
    </row>
    <row r="46" spans="1:7" x14ac:dyDescent="0.6">
      <c r="A46" t="s">
        <v>50</v>
      </c>
      <c r="B46">
        <v>111137.0859375</v>
      </c>
      <c r="C46">
        <v>65000</v>
      </c>
      <c r="D46">
        <v>83</v>
      </c>
      <c r="E46">
        <v>1.7098013221153849</v>
      </c>
      <c r="F46" s="13" t="str">
        <f>IF(E46&gt;9.271,"★","")</f>
        <v/>
      </c>
      <c r="G46" s="13"/>
    </row>
    <row r="47" spans="1:7" x14ac:dyDescent="0.6">
      <c r="A47" s="1" t="s">
        <v>49</v>
      </c>
      <c r="B47">
        <v>2396642.75</v>
      </c>
      <c r="C47">
        <v>1403177.5</v>
      </c>
      <c r="D47">
        <v>156</v>
      </c>
      <c r="E47">
        <v>1.708011103370743</v>
      </c>
      <c r="F47" s="13" t="str">
        <f>IF(E47&gt;9.271,"★","")</f>
        <v/>
      </c>
      <c r="G47" s="13" t="s">
        <v>129</v>
      </c>
    </row>
    <row r="48" spans="1:7" x14ac:dyDescent="0.6">
      <c r="A48" t="s">
        <v>48</v>
      </c>
      <c r="B48">
        <v>48016.66796875</v>
      </c>
      <c r="C48">
        <v>28950</v>
      </c>
      <c r="D48">
        <v>12</v>
      </c>
      <c r="E48">
        <v>1.6586068382987911</v>
      </c>
      <c r="F48" s="13" t="str">
        <f>IF(E48&gt;9.271,"★","")</f>
        <v/>
      </c>
      <c r="G48" s="13"/>
    </row>
    <row r="49" spans="1:7" x14ac:dyDescent="0.6">
      <c r="A49" t="s">
        <v>47</v>
      </c>
      <c r="B49">
        <v>8123.33349609375</v>
      </c>
      <c r="C49">
        <v>4900</v>
      </c>
      <c r="D49">
        <v>9</v>
      </c>
      <c r="E49">
        <v>1.6578231624681119</v>
      </c>
      <c r="F49" s="13" t="str">
        <f>IF(E49&gt;9.271,"★","")</f>
        <v/>
      </c>
      <c r="G49" s="13"/>
    </row>
    <row r="50" spans="1:7" x14ac:dyDescent="0.6">
      <c r="A50" s="1" t="s">
        <v>46</v>
      </c>
      <c r="B50">
        <v>575602.1875</v>
      </c>
      <c r="C50">
        <v>364500</v>
      </c>
      <c r="D50">
        <v>33</v>
      </c>
      <c r="E50">
        <v>1.579155521262003</v>
      </c>
      <c r="F50" s="13" t="str">
        <f>IF(E50&gt;9.271,"★","")</f>
        <v/>
      </c>
      <c r="G50" s="13" t="s">
        <v>129</v>
      </c>
    </row>
    <row r="51" spans="1:7" x14ac:dyDescent="0.6">
      <c r="A51" s="1" t="s">
        <v>45</v>
      </c>
      <c r="B51">
        <v>3024956.25</v>
      </c>
      <c r="C51">
        <v>1930717</v>
      </c>
      <c r="D51">
        <v>55</v>
      </c>
      <c r="E51">
        <v>1.566752791838472</v>
      </c>
      <c r="F51" s="13" t="str">
        <f>IF(E51&gt;9.271,"★","")</f>
        <v/>
      </c>
      <c r="G51" s="13" t="s">
        <v>129</v>
      </c>
    </row>
    <row r="52" spans="1:7" x14ac:dyDescent="0.6">
      <c r="A52" t="s">
        <v>44</v>
      </c>
      <c r="B52">
        <v>879505.375</v>
      </c>
      <c r="C52">
        <v>585167</v>
      </c>
      <c r="D52">
        <v>13</v>
      </c>
      <c r="E52">
        <v>1.50299893021992</v>
      </c>
      <c r="F52" s="13" t="str">
        <f>IF(E52&gt;9.271,"★","")</f>
        <v/>
      </c>
      <c r="G52" s="13"/>
    </row>
    <row r="53" spans="1:7" x14ac:dyDescent="0.6">
      <c r="A53" s="1" t="s">
        <v>43</v>
      </c>
      <c r="B53">
        <v>3632946</v>
      </c>
      <c r="C53">
        <v>2421014</v>
      </c>
      <c r="D53">
        <v>119</v>
      </c>
      <c r="E53">
        <v>1.500588596348472</v>
      </c>
      <c r="F53" s="13" t="str">
        <f>IF(E53&gt;9.271,"★","")</f>
        <v/>
      </c>
      <c r="G53" s="13" t="s">
        <v>129</v>
      </c>
    </row>
    <row r="54" spans="1:7" x14ac:dyDescent="0.6">
      <c r="A54" s="1" t="s">
        <v>42</v>
      </c>
      <c r="B54">
        <v>7318968.5</v>
      </c>
      <c r="C54">
        <v>5031299</v>
      </c>
      <c r="D54">
        <v>11</v>
      </c>
      <c r="E54">
        <v>1.454687646271867</v>
      </c>
      <c r="F54" s="13" t="str">
        <f>IF(E54&gt;9.271,"★","")</f>
        <v/>
      </c>
      <c r="G54" s="13" t="s">
        <v>129</v>
      </c>
    </row>
    <row r="55" spans="1:7" x14ac:dyDescent="0.6">
      <c r="A55" t="s">
        <v>41</v>
      </c>
      <c r="B55">
        <v>202354</v>
      </c>
      <c r="C55">
        <v>142400</v>
      </c>
      <c r="D55">
        <v>37</v>
      </c>
      <c r="E55">
        <v>1.4210252808988759</v>
      </c>
      <c r="F55" s="13" t="str">
        <f>IF(E55&gt;9.271,"★","")</f>
        <v/>
      </c>
      <c r="G55" s="13"/>
    </row>
    <row r="56" spans="1:7" x14ac:dyDescent="0.6">
      <c r="A56" s="1" t="s">
        <v>40</v>
      </c>
      <c r="B56">
        <v>3349442.5</v>
      </c>
      <c r="C56">
        <v>2369285</v>
      </c>
      <c r="D56">
        <v>17</v>
      </c>
      <c r="E56">
        <v>1.4136933716289941</v>
      </c>
      <c r="F56" s="13" t="str">
        <f>IF(E56&gt;9.271,"★","")</f>
        <v/>
      </c>
      <c r="G56" s="13" t="s">
        <v>129</v>
      </c>
    </row>
    <row r="57" spans="1:7" x14ac:dyDescent="0.6">
      <c r="A57" t="s">
        <v>39</v>
      </c>
      <c r="B57">
        <v>403608.71875</v>
      </c>
      <c r="C57">
        <v>286215</v>
      </c>
      <c r="D57">
        <v>21</v>
      </c>
      <c r="E57">
        <v>1.410159211606659</v>
      </c>
      <c r="F57" s="13" t="str">
        <f>IF(E57&gt;9.271,"★","")</f>
        <v/>
      </c>
      <c r="G57" s="13"/>
    </row>
    <row r="58" spans="1:7" x14ac:dyDescent="0.6">
      <c r="A58" s="1" t="s">
        <v>38</v>
      </c>
      <c r="B58">
        <v>933140.25</v>
      </c>
      <c r="C58">
        <v>671940</v>
      </c>
      <c r="D58">
        <v>35</v>
      </c>
      <c r="E58">
        <v>1.388725555853201</v>
      </c>
      <c r="F58" s="13" t="str">
        <f>IF(E58&gt;9.271,"★","")</f>
        <v/>
      </c>
      <c r="G58" s="13" t="s">
        <v>129</v>
      </c>
    </row>
    <row r="59" spans="1:7" x14ac:dyDescent="0.6">
      <c r="A59" s="1" t="s">
        <v>37</v>
      </c>
      <c r="B59">
        <v>2651938.25</v>
      </c>
      <c r="C59">
        <v>1941529</v>
      </c>
      <c r="D59">
        <v>60</v>
      </c>
      <c r="E59">
        <v>1.365901951503171</v>
      </c>
      <c r="F59" s="13" t="str">
        <f>IF(E59&gt;9.271,"★","")</f>
        <v/>
      </c>
      <c r="G59" s="13" t="s">
        <v>129</v>
      </c>
    </row>
    <row r="60" spans="1:7" x14ac:dyDescent="0.6">
      <c r="A60" s="1" t="s">
        <v>36</v>
      </c>
      <c r="B60">
        <v>4530034.5</v>
      </c>
      <c r="C60">
        <v>3361175</v>
      </c>
      <c r="D60">
        <v>17</v>
      </c>
      <c r="E60">
        <v>1.347753241054096</v>
      </c>
      <c r="F60" s="13" t="str">
        <f>IF(E60&gt;9.271,"★","")</f>
        <v/>
      </c>
      <c r="G60" s="13" t="s">
        <v>129</v>
      </c>
    </row>
    <row r="61" spans="1:7" x14ac:dyDescent="0.6">
      <c r="A61" t="s">
        <v>35</v>
      </c>
      <c r="B61">
        <v>882285.125</v>
      </c>
      <c r="C61">
        <v>659437</v>
      </c>
      <c r="D61">
        <v>25</v>
      </c>
      <c r="E61">
        <v>1.3379369446967639</v>
      </c>
      <c r="F61" s="13" t="str">
        <f>IF(E61&gt;9.271,"★","")</f>
        <v/>
      </c>
      <c r="G61" s="13"/>
    </row>
    <row r="62" spans="1:7" x14ac:dyDescent="0.6">
      <c r="A62" s="1" t="s">
        <v>34</v>
      </c>
      <c r="B62">
        <v>561854</v>
      </c>
      <c r="C62">
        <v>449921</v>
      </c>
      <c r="D62">
        <v>17</v>
      </c>
      <c r="E62">
        <v>1.2487836753563399</v>
      </c>
      <c r="F62" s="13" t="str">
        <f>IF(E62&gt;9.271,"★","")</f>
        <v/>
      </c>
      <c r="G62" s="13" t="s">
        <v>129</v>
      </c>
    </row>
    <row r="63" spans="1:7" x14ac:dyDescent="0.6">
      <c r="A63" t="s">
        <v>33</v>
      </c>
      <c r="B63">
        <v>1045567.875</v>
      </c>
      <c r="C63">
        <v>846916</v>
      </c>
      <c r="D63">
        <v>10</v>
      </c>
      <c r="E63">
        <v>1.234559123927284</v>
      </c>
      <c r="F63" s="13" t="str">
        <f>IF(E63&gt;9.271,"★","")</f>
        <v/>
      </c>
      <c r="G63" s="13"/>
    </row>
    <row r="64" spans="1:7" x14ac:dyDescent="0.6">
      <c r="A64" s="1" t="s">
        <v>32</v>
      </c>
      <c r="B64">
        <v>795847.4375</v>
      </c>
      <c r="C64">
        <v>651721</v>
      </c>
      <c r="D64">
        <v>18</v>
      </c>
      <c r="E64">
        <v>1.2211474503660309</v>
      </c>
      <c r="F64" s="13" t="str">
        <f>IF(E64&gt;9.271,"★","")</f>
        <v/>
      </c>
      <c r="G64" s="13" t="s">
        <v>129</v>
      </c>
    </row>
    <row r="65" spans="1:7" x14ac:dyDescent="0.6">
      <c r="A65" s="1" t="s">
        <v>31</v>
      </c>
      <c r="B65">
        <v>1413471.75</v>
      </c>
      <c r="C65">
        <v>1172033</v>
      </c>
      <c r="D65">
        <v>17</v>
      </c>
      <c r="E65">
        <v>1.2059999590455219</v>
      </c>
      <c r="F65" s="13" t="str">
        <f>IF(E65&gt;9.271,"★","")</f>
        <v/>
      </c>
      <c r="G65" s="13" t="s">
        <v>129</v>
      </c>
    </row>
    <row r="66" spans="1:7" x14ac:dyDescent="0.6">
      <c r="A66" s="1" t="s">
        <v>30</v>
      </c>
      <c r="B66">
        <v>2173402</v>
      </c>
      <c r="C66">
        <v>1817860.5</v>
      </c>
      <c r="D66">
        <v>16</v>
      </c>
      <c r="E66">
        <v>1.1955823892977491</v>
      </c>
      <c r="F66" s="13" t="str">
        <f>IF(E66&gt;9.271,"★","")</f>
        <v/>
      </c>
      <c r="G66" s="13" t="s">
        <v>129</v>
      </c>
    </row>
    <row r="67" spans="1:7" x14ac:dyDescent="0.6">
      <c r="A67" s="1" t="s">
        <v>29</v>
      </c>
      <c r="B67">
        <v>1443257.625</v>
      </c>
      <c r="C67">
        <v>1212948</v>
      </c>
      <c r="D67">
        <v>17</v>
      </c>
      <c r="E67">
        <v>1.189875926255701</v>
      </c>
      <c r="F67" s="13" t="str">
        <f>IF(E67&gt;9.271,"★","")</f>
        <v/>
      </c>
      <c r="G67" s="13" t="s">
        <v>129</v>
      </c>
    </row>
    <row r="68" spans="1:7" x14ac:dyDescent="0.6">
      <c r="A68" s="1" t="s">
        <v>28</v>
      </c>
      <c r="B68">
        <v>4453159</v>
      </c>
      <c r="C68">
        <v>3749857</v>
      </c>
      <c r="D68">
        <v>17</v>
      </c>
      <c r="E68">
        <v>1.1875543520726259</v>
      </c>
      <c r="F68" s="13" t="str">
        <f>IF(E68&gt;9.271,"★","")</f>
        <v/>
      </c>
      <c r="G68" s="13" t="s">
        <v>129</v>
      </c>
    </row>
    <row r="69" spans="1:7" x14ac:dyDescent="0.6">
      <c r="A69" t="s">
        <v>27</v>
      </c>
      <c r="B69">
        <v>442422.9375</v>
      </c>
      <c r="C69">
        <v>373566</v>
      </c>
      <c r="D69">
        <v>19</v>
      </c>
      <c r="E69">
        <v>1.1843233524999599</v>
      </c>
      <c r="F69" s="13" t="str">
        <f>IF(E69&gt;9.271,"★","")</f>
        <v/>
      </c>
      <c r="G69" s="13"/>
    </row>
    <row r="70" spans="1:7" x14ac:dyDescent="0.6">
      <c r="A70" t="s">
        <v>26</v>
      </c>
      <c r="B70">
        <v>1266069</v>
      </c>
      <c r="C70">
        <v>1090658</v>
      </c>
      <c r="D70">
        <v>3</v>
      </c>
      <c r="E70">
        <v>1.160830434471668</v>
      </c>
      <c r="F70" s="13" t="str">
        <f>IF(E70&gt;9.271,"★","")</f>
        <v/>
      </c>
      <c r="G70" s="13"/>
    </row>
    <row r="71" spans="1:7" x14ac:dyDescent="0.6">
      <c r="A71" s="1" t="s">
        <v>25</v>
      </c>
      <c r="B71">
        <v>631946</v>
      </c>
      <c r="C71">
        <v>545572</v>
      </c>
      <c r="D71">
        <v>11</v>
      </c>
      <c r="E71">
        <v>1.1583182421385261</v>
      </c>
      <c r="F71" s="13" t="str">
        <f>IF(E71&gt;9.271,"★","")</f>
        <v/>
      </c>
      <c r="G71" s="13" t="s">
        <v>129</v>
      </c>
    </row>
    <row r="72" spans="1:7" x14ac:dyDescent="0.6">
      <c r="A72" s="1" t="s">
        <v>24</v>
      </c>
      <c r="B72">
        <v>4249754.5</v>
      </c>
      <c r="C72">
        <v>3773628</v>
      </c>
      <c r="D72">
        <v>60</v>
      </c>
      <c r="E72">
        <v>1.126172081614828</v>
      </c>
      <c r="F72" s="13" t="str">
        <f>IF(E72&gt;9.271,"★","")</f>
        <v/>
      </c>
      <c r="G72" s="13" t="s">
        <v>129</v>
      </c>
    </row>
    <row r="73" spans="1:7" x14ac:dyDescent="0.6">
      <c r="A73" s="1" t="s">
        <v>23</v>
      </c>
      <c r="B73">
        <v>576257.375</v>
      </c>
      <c r="C73">
        <v>517211</v>
      </c>
      <c r="D73">
        <v>31</v>
      </c>
      <c r="E73">
        <v>1.114163030175306</v>
      </c>
      <c r="F73" s="13" t="str">
        <f>IF(E73&gt;9.271,"★","")</f>
        <v/>
      </c>
      <c r="G73" s="13" t="s">
        <v>129</v>
      </c>
    </row>
    <row r="74" spans="1:7" x14ac:dyDescent="0.6">
      <c r="A74" s="1" t="s">
        <v>22</v>
      </c>
      <c r="B74">
        <v>2452229</v>
      </c>
      <c r="C74">
        <v>2240132</v>
      </c>
      <c r="D74">
        <v>22</v>
      </c>
      <c r="E74">
        <v>1.0946805813228859</v>
      </c>
      <c r="F74" s="13" t="str">
        <f>IF(E74&gt;9.271,"★","")</f>
        <v/>
      </c>
      <c r="G74" s="13" t="s">
        <v>129</v>
      </c>
    </row>
    <row r="75" spans="1:7" x14ac:dyDescent="0.6">
      <c r="A75" s="1" t="s">
        <v>21</v>
      </c>
      <c r="B75">
        <v>1414564.5</v>
      </c>
      <c r="C75">
        <v>1295375</v>
      </c>
      <c r="D75">
        <v>22</v>
      </c>
      <c r="E75">
        <v>1.0920115796584</v>
      </c>
      <c r="F75" s="13" t="str">
        <f>IF(E75&gt;9.271,"★","")</f>
        <v/>
      </c>
      <c r="G75" s="13" t="s">
        <v>129</v>
      </c>
    </row>
    <row r="76" spans="1:7" x14ac:dyDescent="0.6">
      <c r="A76" t="s">
        <v>20</v>
      </c>
      <c r="B76">
        <v>1556222</v>
      </c>
      <c r="C76">
        <v>1436324</v>
      </c>
      <c r="D76">
        <v>3</v>
      </c>
      <c r="E76">
        <v>1.083475594642991</v>
      </c>
      <c r="F76" s="13" t="str">
        <f>IF(E76&gt;9.271,"★","")</f>
        <v/>
      </c>
      <c r="G76" s="13"/>
    </row>
    <row r="77" spans="1:7" x14ac:dyDescent="0.6">
      <c r="A77" s="1" t="s">
        <v>19</v>
      </c>
      <c r="B77">
        <v>1230837.375</v>
      </c>
      <c r="C77">
        <v>1136094.5</v>
      </c>
      <c r="D77">
        <v>34</v>
      </c>
      <c r="E77">
        <v>1.0833934809120189</v>
      </c>
      <c r="F77" s="13" t="str">
        <f>IF(E77&gt;9.271,"★","")</f>
        <v/>
      </c>
      <c r="G77" s="13" t="s">
        <v>129</v>
      </c>
    </row>
    <row r="78" spans="1:7" x14ac:dyDescent="0.6">
      <c r="A78" t="s">
        <v>18</v>
      </c>
      <c r="B78">
        <v>1528644</v>
      </c>
      <c r="C78">
        <v>1440452</v>
      </c>
      <c r="D78">
        <v>3</v>
      </c>
      <c r="E78">
        <v>1.0612252265261179</v>
      </c>
      <c r="F78" s="13" t="str">
        <f>IF(E78&gt;9.271,"★","")</f>
        <v/>
      </c>
      <c r="G78" s="13"/>
    </row>
    <row r="79" spans="1:7" x14ac:dyDescent="0.6">
      <c r="A79" t="s">
        <v>17</v>
      </c>
      <c r="B79">
        <v>4732.5</v>
      </c>
      <c r="C79">
        <v>4465</v>
      </c>
      <c r="D79">
        <v>4</v>
      </c>
      <c r="E79">
        <v>1.059910414333707</v>
      </c>
      <c r="F79" s="13" t="str">
        <f>IF(E79&gt;9.271,"★","")</f>
        <v/>
      </c>
      <c r="G79" s="13"/>
    </row>
    <row r="80" spans="1:7" x14ac:dyDescent="0.6">
      <c r="A80" s="1" t="s">
        <v>16</v>
      </c>
      <c r="B80">
        <v>2156752</v>
      </c>
      <c r="C80">
        <v>2091144.5</v>
      </c>
      <c r="D80">
        <v>62</v>
      </c>
      <c r="E80">
        <v>1.031373967700463</v>
      </c>
      <c r="F80" s="13" t="str">
        <f>IF(E80&gt;9.271,"★","")</f>
        <v/>
      </c>
      <c r="G80" s="13" t="s">
        <v>129</v>
      </c>
    </row>
    <row r="81" spans="1:7" x14ac:dyDescent="0.6">
      <c r="A81" t="s">
        <v>15</v>
      </c>
      <c r="B81">
        <v>1362453.25</v>
      </c>
      <c r="C81">
        <v>1369346</v>
      </c>
      <c r="D81">
        <v>16</v>
      </c>
      <c r="E81">
        <v>0.9949663927159389</v>
      </c>
      <c r="F81" s="13" t="str">
        <f>IF(E81&gt;9.271,"★","")</f>
        <v/>
      </c>
      <c r="G81" s="13"/>
    </row>
    <row r="82" spans="1:7" x14ac:dyDescent="0.6">
      <c r="A82" t="s">
        <v>14</v>
      </c>
      <c r="B82">
        <v>260214.578125</v>
      </c>
      <c r="C82">
        <v>262392</v>
      </c>
      <c r="D82">
        <v>7</v>
      </c>
      <c r="E82">
        <v>0.99170164534360805</v>
      </c>
      <c r="F82" s="13" t="str">
        <f>IF(E82&gt;9.271,"★","")</f>
        <v/>
      </c>
      <c r="G82" s="13"/>
    </row>
    <row r="83" spans="1:7" x14ac:dyDescent="0.6">
      <c r="A83" s="1" t="s">
        <v>13</v>
      </c>
      <c r="B83">
        <v>1527991.5</v>
      </c>
      <c r="C83">
        <v>1547156</v>
      </c>
      <c r="D83">
        <v>43</v>
      </c>
      <c r="E83">
        <v>0.98761307844845636</v>
      </c>
      <c r="F83" s="13" t="str">
        <f>IF(E83&gt;9.271,"★","")</f>
        <v/>
      </c>
      <c r="G83" s="13" t="s">
        <v>129</v>
      </c>
    </row>
    <row r="84" spans="1:7" x14ac:dyDescent="0.6">
      <c r="A84" s="1" t="s">
        <v>12</v>
      </c>
      <c r="B84">
        <v>15470853</v>
      </c>
      <c r="C84">
        <v>15752589.5</v>
      </c>
      <c r="D84">
        <v>36</v>
      </c>
      <c r="E84">
        <v>0.98211490879007546</v>
      </c>
      <c r="F84" s="13" t="str">
        <f>IF(E84&gt;9.271,"★","")</f>
        <v/>
      </c>
      <c r="G84" s="13" t="s">
        <v>129</v>
      </c>
    </row>
    <row r="85" spans="1:7" x14ac:dyDescent="0.6">
      <c r="A85" t="s">
        <v>11</v>
      </c>
      <c r="B85">
        <v>638375.6875</v>
      </c>
      <c r="C85">
        <v>657598</v>
      </c>
      <c r="D85">
        <v>3</v>
      </c>
      <c r="E85">
        <v>0.97076890060492882</v>
      </c>
      <c r="F85" s="13" t="str">
        <f>IF(E85&gt;9.271,"★","")</f>
        <v/>
      </c>
      <c r="G85" s="13"/>
    </row>
    <row r="86" spans="1:7" x14ac:dyDescent="0.6">
      <c r="A86" s="1" t="s">
        <v>10</v>
      </c>
      <c r="B86">
        <v>5838312.5</v>
      </c>
      <c r="C86">
        <v>6018670</v>
      </c>
      <c r="D86">
        <v>27</v>
      </c>
      <c r="E86">
        <v>0.97003366192198603</v>
      </c>
      <c r="F86" s="13" t="str">
        <f>IF(E86&gt;9.271,"★","")</f>
        <v/>
      </c>
      <c r="G86" s="13" t="s">
        <v>129</v>
      </c>
    </row>
    <row r="87" spans="1:7" x14ac:dyDescent="0.6">
      <c r="A87" s="1" t="s">
        <v>9</v>
      </c>
      <c r="B87">
        <v>2351775.75</v>
      </c>
      <c r="C87">
        <v>2467212</v>
      </c>
      <c r="D87">
        <v>24</v>
      </c>
      <c r="E87">
        <v>0.9532118642419054</v>
      </c>
      <c r="F87" s="13" t="str">
        <f>IF(E87&gt;9.271,"★","")</f>
        <v/>
      </c>
      <c r="G87" s="13" t="s">
        <v>129</v>
      </c>
    </row>
    <row r="88" spans="1:7" x14ac:dyDescent="0.6">
      <c r="A88" s="1" t="s">
        <v>8</v>
      </c>
      <c r="B88">
        <v>3453281.25</v>
      </c>
      <c r="C88">
        <v>3640181</v>
      </c>
      <c r="D88">
        <v>15</v>
      </c>
      <c r="E88">
        <v>0.94865646790640357</v>
      </c>
      <c r="F88" s="13" t="str">
        <f>IF(E88&gt;9.271,"★","")</f>
        <v/>
      </c>
      <c r="G88" s="13" t="s">
        <v>129</v>
      </c>
    </row>
    <row r="89" spans="1:7" x14ac:dyDescent="0.6">
      <c r="A89" s="1" t="s">
        <v>7</v>
      </c>
      <c r="B89">
        <v>11287157</v>
      </c>
      <c r="C89">
        <v>11966836.5</v>
      </c>
      <c r="D89">
        <v>62</v>
      </c>
      <c r="E89">
        <v>0.94320307626831867</v>
      </c>
      <c r="F89" s="13" t="str">
        <f>IF(E89&gt;9.271,"★","")</f>
        <v/>
      </c>
      <c r="G89" s="13" t="s">
        <v>129</v>
      </c>
    </row>
    <row r="90" spans="1:7" x14ac:dyDescent="0.6">
      <c r="A90" s="1" t="s">
        <v>6</v>
      </c>
      <c r="B90">
        <v>2745633.25</v>
      </c>
      <c r="C90">
        <v>3087357</v>
      </c>
      <c r="D90">
        <v>7</v>
      </c>
      <c r="E90">
        <v>0.88931511645721562</v>
      </c>
      <c r="F90" s="13" t="str">
        <f>IF(E90&gt;9.271,"★","")</f>
        <v/>
      </c>
      <c r="G90" s="13" t="s">
        <v>129</v>
      </c>
    </row>
    <row r="91" spans="1:7" x14ac:dyDescent="0.6">
      <c r="A91" t="s">
        <v>5</v>
      </c>
      <c r="B91">
        <v>1319653.625</v>
      </c>
      <c r="C91">
        <v>1492433</v>
      </c>
      <c r="D91">
        <v>5</v>
      </c>
      <c r="E91">
        <v>0.88422972756565954</v>
      </c>
      <c r="F91" s="13" t="str">
        <f>IF(E91&gt;9.271,"★","")</f>
        <v/>
      </c>
      <c r="G91" s="13"/>
    </row>
  </sheetData>
  <autoFilter ref="A1:F91" xr:uid="{8C3EFFED-CEA2-4626-A502-79F868773FE6}">
    <sortState xmlns:xlrd2="http://schemas.microsoft.com/office/spreadsheetml/2017/richdata2" ref="A2:F91">
      <sortCondition descending="1" ref="E1:E91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A945-3885-4532-B703-70E38CC39C1D}">
  <dimension ref="A1:Y91"/>
  <sheetViews>
    <sheetView zoomScale="40" workbookViewId="0">
      <selection activeCell="A14" sqref="A2:A14"/>
    </sheetView>
  </sheetViews>
  <sheetFormatPr defaultRowHeight="16.899999999999999" x14ac:dyDescent="0.6"/>
  <sheetData>
    <row r="1" spans="1:25" x14ac:dyDescent="0.6">
      <c r="A1" s="2" t="s">
        <v>95</v>
      </c>
      <c r="B1" s="2" t="s">
        <v>4</v>
      </c>
      <c r="C1" s="2" t="s">
        <v>125</v>
      </c>
      <c r="D1" s="2" t="s">
        <v>112</v>
      </c>
      <c r="E1" s="3" t="s">
        <v>96</v>
      </c>
      <c r="F1" s="2" t="s">
        <v>95</v>
      </c>
      <c r="G1" s="2" t="s">
        <v>112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113</v>
      </c>
      <c r="M1" s="2" t="s">
        <v>95</v>
      </c>
      <c r="N1" s="2" t="s">
        <v>114</v>
      </c>
      <c r="O1" s="2" t="s">
        <v>115</v>
      </c>
      <c r="P1" s="2" t="s">
        <v>116</v>
      </c>
      <c r="Q1" s="2" t="s">
        <v>95</v>
      </c>
      <c r="R1" s="2" t="s">
        <v>112</v>
      </c>
      <c r="S1" s="2" t="s">
        <v>121</v>
      </c>
      <c r="T1" s="2" t="s">
        <v>122</v>
      </c>
      <c r="U1" s="2" t="s">
        <v>113</v>
      </c>
      <c r="W1" s="11" t="s">
        <v>126</v>
      </c>
      <c r="X1" s="12"/>
      <c r="Y1" s="12"/>
    </row>
    <row r="2" spans="1:25" x14ac:dyDescent="0.6">
      <c r="A2" s="4" t="s">
        <v>94</v>
      </c>
      <c r="B2" s="5">
        <v>666.80368750000002</v>
      </c>
      <c r="C2" s="6" t="str">
        <f>IF(B2&gt;$F$14,"★","")</f>
        <v>★</v>
      </c>
      <c r="D2" s="7">
        <f t="shared" ref="D2:D33" si="0">LOG10(B2)</f>
        <v>2.8239979928603378</v>
      </c>
      <c r="E2" s="8" t="s">
        <v>97</v>
      </c>
      <c r="F2" s="8">
        <f>COUNT(B2:B91)</f>
        <v>90</v>
      </c>
      <c r="G2" s="7">
        <f t="shared" ref="G2:G33" si="1">LOG10(B2)</f>
        <v>2.8239979928603378</v>
      </c>
      <c r="H2" s="7">
        <v>6.2388000000000003</v>
      </c>
      <c r="I2" s="7">
        <v>9.2710000000000008</v>
      </c>
      <c r="J2" s="7">
        <f t="shared" ref="J2:J33" si="2">LOG10(6.2388)</f>
        <v>0.79510106348120424</v>
      </c>
      <c r="K2" s="7">
        <f t="shared" ref="K2:K33" si="3">LOG10(9.271)</f>
        <v>0.96712658107641281</v>
      </c>
      <c r="L2" s="7">
        <f t="shared" ref="L2:L33" si="4">LOG10(36.2)</f>
        <v>1.5587085705331658</v>
      </c>
      <c r="M2" s="8" t="str">
        <f t="shared" ref="M2:M33" si="5">A2</f>
        <v>스포츠음료</v>
      </c>
      <c r="N2" s="7">
        <f t="shared" ref="N2:N33" si="6">B2</f>
        <v>666.80368750000002</v>
      </c>
      <c r="O2" s="7">
        <v>6.2388000000000003</v>
      </c>
      <c r="P2" s="7">
        <v>9.2710000000000008</v>
      </c>
      <c r="Q2" s="8" t="str">
        <f t="shared" ref="Q2:Q33" si="7">A2</f>
        <v>스포츠음료</v>
      </c>
      <c r="R2" s="7">
        <f t="shared" ref="R2:R33" si="8">LOG10(B2)</f>
        <v>2.8239979928603378</v>
      </c>
      <c r="S2" s="7">
        <f t="shared" ref="S2:S33" si="9">LOG10(6.2388)</f>
        <v>0.79510106348120424</v>
      </c>
      <c r="T2" s="7">
        <f t="shared" ref="T2:T33" si="10">LOG10(9.271)</f>
        <v>0.96712658107641281</v>
      </c>
      <c r="U2" s="7">
        <f t="shared" ref="U2:U33" si="11">LOG10(36.2)</f>
        <v>1.5587085705331658</v>
      </c>
      <c r="W2" s="10" t="s">
        <v>123</v>
      </c>
      <c r="X2" s="10" t="s">
        <v>124</v>
      </c>
      <c r="Y2" s="10" t="s">
        <v>112</v>
      </c>
    </row>
    <row r="3" spans="1:25" x14ac:dyDescent="0.6">
      <c r="A3" s="4" t="s">
        <v>93</v>
      </c>
      <c r="B3" s="5">
        <v>113.368134615385</v>
      </c>
      <c r="C3" s="6" t="str">
        <f>IF(B3&gt;$F$14,"★","")</f>
        <v>★</v>
      </c>
      <c r="D3" s="7">
        <f t="shared" si="0"/>
        <v>2.0544910007170345</v>
      </c>
      <c r="E3" s="8" t="s">
        <v>98</v>
      </c>
      <c r="F3" s="7">
        <f>MIN(B2:B91)</f>
        <v>0.88422972756565998</v>
      </c>
      <c r="G3" s="7">
        <f t="shared" si="1"/>
        <v>2.0544910007170345</v>
      </c>
      <c r="H3" s="7">
        <v>6.2388000000000003</v>
      </c>
      <c r="I3" s="7">
        <v>9.2710000000000008</v>
      </c>
      <c r="J3" s="7">
        <f t="shared" si="2"/>
        <v>0.79510106348120424</v>
      </c>
      <c r="K3" s="7">
        <f t="shared" si="3"/>
        <v>0.96712658107641281</v>
      </c>
      <c r="L3" s="7">
        <f t="shared" si="4"/>
        <v>1.5587085705331658</v>
      </c>
      <c r="M3" s="8" t="str">
        <f t="shared" si="5"/>
        <v>생수</v>
      </c>
      <c r="N3" s="7">
        <f t="shared" si="6"/>
        <v>113.368134615385</v>
      </c>
      <c r="O3" s="7">
        <v>6.2388000000000003</v>
      </c>
      <c r="P3" s="7">
        <v>9.2710000000000008</v>
      </c>
      <c r="Q3" s="8" t="str">
        <f t="shared" si="7"/>
        <v>생수</v>
      </c>
      <c r="R3" s="7">
        <f t="shared" si="8"/>
        <v>2.0544910007170345</v>
      </c>
      <c r="S3" s="7">
        <f t="shared" si="9"/>
        <v>0.79510106348120424</v>
      </c>
      <c r="T3" s="7">
        <f t="shared" si="10"/>
        <v>0.96712658107641281</v>
      </c>
      <c r="U3" s="7">
        <f t="shared" si="11"/>
        <v>1.5587085705331658</v>
      </c>
      <c r="W3" t="str" cm="1">
        <f t="array" ref="W3:W10">IFERROR(_xlfn._xlws.FILTER(A2:A91,B2:B91&gt;$F$14),"")</f>
        <v>스포츠음료</v>
      </c>
      <c r="X3" cm="1">
        <f t="array" ref="X3:X10">IFERROR(_xlfn._xlws.FILTER(B2:B91,B2:B91&gt;$F$14),"")</f>
        <v>666.80368750000002</v>
      </c>
      <c r="Y3" cm="1">
        <f t="array" ref="Y3:Y10">IFERROR(_xlfn._xlws.FILTER(D2:D91,B2:B91&gt;$F$14),"")</f>
        <v>2.8239979928603378</v>
      </c>
    </row>
    <row r="4" spans="1:25" x14ac:dyDescent="0.6">
      <c r="A4" s="4" t="s">
        <v>92</v>
      </c>
      <c r="B4" s="5">
        <v>54.555831117021299</v>
      </c>
      <c r="C4" s="6" t="str">
        <f>IF(B4&gt;$F$14,"★","")</f>
        <v>★</v>
      </c>
      <c r="D4" s="7">
        <f t="shared" si="0"/>
        <v>1.7368411763103153</v>
      </c>
      <c r="E4" s="8" t="s">
        <v>99</v>
      </c>
      <c r="F4" s="7">
        <f>MAX(B2:B91)</f>
        <v>666.80368750000002</v>
      </c>
      <c r="G4" s="7">
        <f t="shared" si="1"/>
        <v>1.7368411763103153</v>
      </c>
      <c r="H4" s="7">
        <v>6.2388000000000003</v>
      </c>
      <c r="I4" s="7">
        <v>9.2710000000000008</v>
      </c>
      <c r="J4" s="7">
        <f t="shared" si="2"/>
        <v>0.79510106348120424</v>
      </c>
      <c r="K4" s="7">
        <f t="shared" si="3"/>
        <v>0.96712658107641281</v>
      </c>
      <c r="L4" s="7">
        <f t="shared" si="4"/>
        <v>1.5587085705331658</v>
      </c>
      <c r="M4" s="8" t="str">
        <f t="shared" si="5"/>
        <v>미분류</v>
      </c>
      <c r="N4" s="7">
        <f t="shared" si="6"/>
        <v>54.555831117021299</v>
      </c>
      <c r="O4" s="7">
        <v>6.2388000000000003</v>
      </c>
      <c r="P4" s="7">
        <v>9.2710000000000008</v>
      </c>
      <c r="Q4" s="8" t="str">
        <f t="shared" si="7"/>
        <v>미분류</v>
      </c>
      <c r="R4" s="7">
        <f t="shared" si="8"/>
        <v>1.7368411763103153</v>
      </c>
      <c r="S4" s="7">
        <f t="shared" si="9"/>
        <v>0.79510106348120424</v>
      </c>
      <c r="T4" s="7">
        <f t="shared" si="10"/>
        <v>0.96712658107641281</v>
      </c>
      <c r="U4" s="7">
        <f t="shared" si="11"/>
        <v>1.5587085705331658</v>
      </c>
      <c r="W4" t="str">
        <v>생수</v>
      </c>
      <c r="X4">
        <v>113.368134615385</v>
      </c>
      <c r="Y4">
        <v>2.0544910007170345</v>
      </c>
    </row>
    <row r="5" spans="1:25" x14ac:dyDescent="0.6">
      <c r="A5" s="4" t="s">
        <v>91</v>
      </c>
      <c r="B5" s="5">
        <v>20.046182955488</v>
      </c>
      <c r="C5" s="6" t="str">
        <f>IF(B5&gt;$F$14,"★","")</f>
        <v>★</v>
      </c>
      <c r="D5" s="7">
        <f t="shared" si="0"/>
        <v>1.3020316897150945</v>
      </c>
      <c r="E5" s="8" t="s">
        <v>100</v>
      </c>
      <c r="F5" s="7">
        <f>AVERAGE(B2:B91)</f>
        <v>12.234164074052334</v>
      </c>
      <c r="G5" s="7">
        <f t="shared" si="1"/>
        <v>1.3020316897150945</v>
      </c>
      <c r="H5" s="7">
        <v>6.2388000000000003</v>
      </c>
      <c r="I5" s="7">
        <v>9.2710000000000008</v>
      </c>
      <c r="J5" s="7">
        <f t="shared" si="2"/>
        <v>0.79510106348120424</v>
      </c>
      <c r="K5" s="7">
        <f t="shared" si="3"/>
        <v>0.96712658107641281</v>
      </c>
      <c r="L5" s="7">
        <f t="shared" si="4"/>
        <v>1.5587085705331658</v>
      </c>
      <c r="M5" s="8" t="str">
        <f t="shared" si="5"/>
        <v>고급</v>
      </c>
      <c r="N5" s="7">
        <f t="shared" si="6"/>
        <v>20.046182955488</v>
      </c>
      <c r="O5" s="7">
        <v>6.2388000000000003</v>
      </c>
      <c r="P5" s="7">
        <v>9.2710000000000008</v>
      </c>
      <c r="Q5" s="8" t="str">
        <f t="shared" si="7"/>
        <v>고급</v>
      </c>
      <c r="R5" s="7">
        <f t="shared" si="8"/>
        <v>1.3020316897150945</v>
      </c>
      <c r="S5" s="7">
        <f t="shared" si="9"/>
        <v>0.79510106348120424</v>
      </c>
      <c r="T5" s="7">
        <f t="shared" si="10"/>
        <v>0.96712658107641281</v>
      </c>
      <c r="U5" s="7">
        <f t="shared" si="11"/>
        <v>1.5587085705331658</v>
      </c>
      <c r="W5" t="str">
        <v>미분류</v>
      </c>
      <c r="X5">
        <v>54.555831117021299</v>
      </c>
      <c r="Y5">
        <v>1.7368411763103153</v>
      </c>
    </row>
    <row r="6" spans="1:25" x14ac:dyDescent="0.6">
      <c r="A6" s="4" t="s">
        <v>90</v>
      </c>
      <c r="B6" s="5">
        <v>19.2178709799351</v>
      </c>
      <c r="C6" s="6" t="str">
        <f>IF(B6&gt;$F$14,"★","")</f>
        <v>★</v>
      </c>
      <c r="D6" s="7">
        <f t="shared" si="0"/>
        <v>1.2837052734011791</v>
      </c>
      <c r="E6" s="8" t="s">
        <v>101</v>
      </c>
      <c r="F6" s="7">
        <f>MEDIAN(B2:B91)</f>
        <v>1.7089062127430599</v>
      </c>
      <c r="G6" s="7">
        <f t="shared" si="1"/>
        <v>1.2837052734011791</v>
      </c>
      <c r="H6" s="7">
        <v>6.2388000000000003</v>
      </c>
      <c r="I6" s="7">
        <v>9.2710000000000008</v>
      </c>
      <c r="J6" s="7">
        <f t="shared" si="2"/>
        <v>0.79510106348120424</v>
      </c>
      <c r="K6" s="7">
        <f t="shared" si="3"/>
        <v>0.96712658107641281</v>
      </c>
      <c r="L6" s="7">
        <f t="shared" si="4"/>
        <v>1.5587085705331658</v>
      </c>
      <c r="M6" s="8" t="str">
        <f t="shared" si="5"/>
        <v>수입맥주</v>
      </c>
      <c r="N6" s="7">
        <f t="shared" si="6"/>
        <v>19.2178709799351</v>
      </c>
      <c r="O6" s="7">
        <v>6.2388000000000003</v>
      </c>
      <c r="P6" s="7">
        <v>9.2710000000000008</v>
      </c>
      <c r="Q6" s="8" t="str">
        <f t="shared" si="7"/>
        <v>수입맥주</v>
      </c>
      <c r="R6" s="7">
        <f t="shared" si="8"/>
        <v>1.2837052734011791</v>
      </c>
      <c r="S6" s="7">
        <f t="shared" si="9"/>
        <v>0.79510106348120424</v>
      </c>
      <c r="T6" s="7">
        <f t="shared" si="10"/>
        <v>0.96712658107641281</v>
      </c>
      <c r="U6" s="7">
        <f t="shared" si="11"/>
        <v>1.5587085705331658</v>
      </c>
      <c r="W6" t="str">
        <v>고급</v>
      </c>
      <c r="X6">
        <v>20.046182955488</v>
      </c>
      <c r="Y6">
        <v>1.3020316897150945</v>
      </c>
    </row>
    <row r="7" spans="1:25" x14ac:dyDescent="0.6">
      <c r="A7" s="4" t="s">
        <v>89</v>
      </c>
      <c r="B7" s="5">
        <v>15.2772530241936</v>
      </c>
      <c r="C7" s="6" t="str">
        <f>IF(B7&gt;$F$14,"★","")</f>
        <v>★</v>
      </c>
      <c r="D7" s="7">
        <f t="shared" si="0"/>
        <v>1.1840452715378713</v>
      </c>
      <c r="E7" s="8" t="s">
        <v>102</v>
      </c>
      <c r="F7" s="7">
        <f>STDEV(B2:B91)</f>
        <v>71.026431100458154</v>
      </c>
      <c r="G7" s="7">
        <f t="shared" si="1"/>
        <v>1.1840452715378713</v>
      </c>
      <c r="H7" s="7">
        <v>6.2388000000000003</v>
      </c>
      <c r="I7" s="7">
        <v>9.2710000000000008</v>
      </c>
      <c r="J7" s="7">
        <f t="shared" si="2"/>
        <v>0.79510106348120424</v>
      </c>
      <c r="K7" s="7">
        <f t="shared" si="3"/>
        <v>0.96712658107641281</v>
      </c>
      <c r="L7" s="7">
        <f t="shared" si="4"/>
        <v>1.5587085705331658</v>
      </c>
      <c r="M7" s="8" t="str">
        <f t="shared" si="5"/>
        <v>차</v>
      </c>
      <c r="N7" s="7">
        <f t="shared" si="6"/>
        <v>15.2772530241936</v>
      </c>
      <c r="O7" s="7">
        <v>6.2388000000000003</v>
      </c>
      <c r="P7" s="7">
        <v>9.2710000000000008</v>
      </c>
      <c r="Q7" s="8" t="str">
        <f t="shared" si="7"/>
        <v>차</v>
      </c>
      <c r="R7" s="7">
        <f t="shared" si="8"/>
        <v>1.1840452715378713</v>
      </c>
      <c r="S7" s="7">
        <f t="shared" si="9"/>
        <v>0.79510106348120424</v>
      </c>
      <c r="T7" s="7">
        <f t="shared" si="10"/>
        <v>0.96712658107641281</v>
      </c>
      <c r="U7" s="7">
        <f t="shared" si="11"/>
        <v>1.5587085705331658</v>
      </c>
      <c r="W7" t="str">
        <v>수입맥주</v>
      </c>
      <c r="X7">
        <v>19.2178709799351</v>
      </c>
      <c r="Y7">
        <v>1.2837052734011791</v>
      </c>
    </row>
    <row r="8" spans="1:25" x14ac:dyDescent="0.6">
      <c r="A8" s="4" t="s">
        <v>88</v>
      </c>
      <c r="B8" s="5">
        <v>14.473232717803</v>
      </c>
      <c r="C8" s="6" t="str">
        <f>IF(B8&gt;$F$14,"★","")</f>
        <v>★</v>
      </c>
      <c r="D8" s="7">
        <f t="shared" si="0"/>
        <v>1.1605655452655166</v>
      </c>
      <c r="E8" s="8"/>
      <c r="F8" s="8" t="str">
        <f>A8</f>
        <v>원컵</v>
      </c>
      <c r="G8" s="7">
        <f t="shared" si="1"/>
        <v>1.1605655452655166</v>
      </c>
      <c r="H8" s="7">
        <v>6.2388000000000003</v>
      </c>
      <c r="I8" s="7">
        <v>9.2710000000000008</v>
      </c>
      <c r="J8" s="7">
        <f t="shared" si="2"/>
        <v>0.79510106348120424</v>
      </c>
      <c r="K8" s="7">
        <f t="shared" si="3"/>
        <v>0.96712658107641281</v>
      </c>
      <c r="L8" s="7">
        <f t="shared" si="4"/>
        <v>1.5587085705331658</v>
      </c>
      <c r="M8" s="8" t="str">
        <f t="shared" si="5"/>
        <v>원컵</v>
      </c>
      <c r="N8" s="7">
        <f t="shared" si="6"/>
        <v>14.473232717803</v>
      </c>
      <c r="O8" s="7">
        <v>6.2388000000000003</v>
      </c>
      <c r="P8" s="7">
        <v>9.2710000000000008</v>
      </c>
      <c r="Q8" s="8" t="str">
        <f t="shared" si="7"/>
        <v>원컵</v>
      </c>
      <c r="R8" s="7">
        <f t="shared" si="8"/>
        <v>1.1605655452655166</v>
      </c>
      <c r="S8" s="7">
        <f t="shared" si="9"/>
        <v>0.79510106348120424</v>
      </c>
      <c r="T8" s="7">
        <f t="shared" si="10"/>
        <v>0.96712658107641281</v>
      </c>
      <c r="U8" s="7">
        <f t="shared" si="11"/>
        <v>1.5587085705331658</v>
      </c>
      <c r="W8" t="str">
        <v>차</v>
      </c>
      <c r="X8">
        <v>15.2772530241936</v>
      </c>
      <c r="Y8">
        <v>1.1840452715378713</v>
      </c>
    </row>
    <row r="9" spans="1:25" x14ac:dyDescent="0.6">
      <c r="A9" s="4" t="s">
        <v>87</v>
      </c>
      <c r="B9" s="5">
        <v>9.7685386618589707</v>
      </c>
      <c r="C9" s="6" t="str">
        <f>IF(B9&gt;$F$14,"★","")</f>
        <v>★</v>
      </c>
      <c r="D9" s="7">
        <f t="shared" si="0"/>
        <v>0.98982959969019235</v>
      </c>
      <c r="E9" s="3" t="s">
        <v>103</v>
      </c>
      <c r="F9" s="8" t="str">
        <f>A9</f>
        <v>홈타입</v>
      </c>
      <c r="G9" s="7">
        <f t="shared" si="1"/>
        <v>0.98982959969019235</v>
      </c>
      <c r="H9" s="7">
        <v>6.2388000000000003</v>
      </c>
      <c r="I9" s="7">
        <v>9.2710000000000008</v>
      </c>
      <c r="J9" s="7">
        <f t="shared" si="2"/>
        <v>0.79510106348120424</v>
      </c>
      <c r="K9" s="7">
        <f t="shared" si="3"/>
        <v>0.96712658107641281</v>
      </c>
      <c r="L9" s="7">
        <f t="shared" si="4"/>
        <v>1.5587085705331658</v>
      </c>
      <c r="M9" s="8" t="str">
        <f t="shared" si="5"/>
        <v>홈타입</v>
      </c>
      <c r="N9" s="7">
        <f t="shared" si="6"/>
        <v>9.7685386618589707</v>
      </c>
      <c r="O9" s="7">
        <v>6.2388000000000003</v>
      </c>
      <c r="P9" s="7">
        <v>9.2710000000000008</v>
      </c>
      <c r="Q9" s="8" t="str">
        <f t="shared" si="7"/>
        <v>홈타입</v>
      </c>
      <c r="R9" s="7">
        <f t="shared" si="8"/>
        <v>0.98982959969019235</v>
      </c>
      <c r="S9" s="7">
        <f t="shared" si="9"/>
        <v>0.79510106348120424</v>
      </c>
      <c r="T9" s="7">
        <f t="shared" si="10"/>
        <v>0.96712658107641281</v>
      </c>
      <c r="U9" s="7">
        <f t="shared" si="11"/>
        <v>1.5587085705331658</v>
      </c>
      <c r="W9" t="str">
        <v>원컵</v>
      </c>
      <c r="X9">
        <v>14.473232717803</v>
      </c>
      <c r="Y9">
        <v>1.1605655452655166</v>
      </c>
    </row>
    <row r="10" spans="1:25" x14ac:dyDescent="0.6">
      <c r="A10" s="4" t="s">
        <v>86</v>
      </c>
      <c r="B10" s="5">
        <v>8.80523042929293</v>
      </c>
      <c r="C10" s="6" t="str">
        <f>IF(B10&gt;$F$14,"★","")</f>
        <v/>
      </c>
      <c r="D10" s="7">
        <f t="shared" si="0"/>
        <v>0.94474072576166335</v>
      </c>
      <c r="E10" s="8" t="s">
        <v>104</v>
      </c>
      <c r="F10" s="7">
        <f>QUARTILE(B2:B91,1)</f>
        <v>1.1851311023931275</v>
      </c>
      <c r="G10" s="7">
        <f t="shared" si="1"/>
        <v>0.94474072576166335</v>
      </c>
      <c r="H10" s="7">
        <v>6.2388000000000003</v>
      </c>
      <c r="I10" s="7">
        <v>9.2710000000000008</v>
      </c>
      <c r="J10" s="7">
        <f t="shared" si="2"/>
        <v>0.79510106348120424</v>
      </c>
      <c r="K10" s="7">
        <f t="shared" si="3"/>
        <v>0.96712658107641281</v>
      </c>
      <c r="L10" s="7">
        <f t="shared" si="4"/>
        <v>1.5587085705331658</v>
      </c>
      <c r="M10" s="8" t="str">
        <f t="shared" si="5"/>
        <v>시즌케익</v>
      </c>
      <c r="N10" s="7">
        <f t="shared" si="6"/>
        <v>8.80523042929293</v>
      </c>
      <c r="O10" s="7">
        <v>6.2388000000000003</v>
      </c>
      <c r="P10" s="7">
        <v>9.2710000000000008</v>
      </c>
      <c r="Q10" s="8" t="str">
        <f t="shared" si="7"/>
        <v>시즌케익</v>
      </c>
      <c r="R10" s="7">
        <f t="shared" si="8"/>
        <v>0.94474072576166335</v>
      </c>
      <c r="S10" s="7">
        <f t="shared" si="9"/>
        <v>0.79510106348120424</v>
      </c>
      <c r="T10" s="7">
        <f t="shared" si="10"/>
        <v>0.96712658107641281</v>
      </c>
      <c r="U10" s="7">
        <f t="shared" si="11"/>
        <v>1.5587085705331658</v>
      </c>
      <c r="W10" t="str">
        <v>홈타입</v>
      </c>
      <c r="X10">
        <v>9.7685386618589707</v>
      </c>
      <c r="Y10">
        <v>0.98982959969019235</v>
      </c>
    </row>
    <row r="11" spans="1:25" x14ac:dyDescent="0.6">
      <c r="A11" s="4" t="s">
        <v>85</v>
      </c>
      <c r="B11" s="5">
        <v>8.7145961538461503</v>
      </c>
      <c r="C11" s="6" t="str">
        <f>IF(B11&gt;$F$14,"★","")</f>
        <v/>
      </c>
      <c r="D11" s="7">
        <f t="shared" si="0"/>
        <v>0.94024726611956855</v>
      </c>
      <c r="E11" s="8" t="s">
        <v>105</v>
      </c>
      <c r="F11" s="7">
        <f>QUARTILE(B2:B91,3)</f>
        <v>3.2065910539460547</v>
      </c>
      <c r="G11" s="7">
        <f t="shared" si="1"/>
        <v>0.94024726611956855</v>
      </c>
      <c r="H11" s="7">
        <v>6.2388000000000003</v>
      </c>
      <c r="I11" s="7">
        <v>9.2710000000000008</v>
      </c>
      <c r="J11" s="7">
        <f t="shared" si="2"/>
        <v>0.79510106348120424</v>
      </c>
      <c r="K11" s="7">
        <f t="shared" si="3"/>
        <v>0.96712658107641281</v>
      </c>
      <c r="L11" s="7">
        <f t="shared" si="4"/>
        <v>1.5587085705331658</v>
      </c>
      <c r="M11" s="8" t="str">
        <f t="shared" si="5"/>
        <v>막걸리</v>
      </c>
      <c r="N11" s="7">
        <f t="shared" si="6"/>
        <v>8.7145961538461503</v>
      </c>
      <c r="O11" s="7">
        <v>6.2388000000000003</v>
      </c>
      <c r="P11" s="7">
        <v>9.2710000000000008</v>
      </c>
      <c r="Q11" s="8" t="str">
        <f t="shared" si="7"/>
        <v>막걸리</v>
      </c>
      <c r="R11" s="7">
        <f t="shared" si="8"/>
        <v>0.94024726611956855</v>
      </c>
      <c r="S11" s="7">
        <f t="shared" si="9"/>
        <v>0.79510106348120424</v>
      </c>
      <c r="T11" s="7">
        <f t="shared" si="10"/>
        <v>0.96712658107641281</v>
      </c>
      <c r="U11" s="7">
        <f t="shared" si="11"/>
        <v>1.5587085705331658</v>
      </c>
    </row>
    <row r="12" spans="1:25" x14ac:dyDescent="0.6">
      <c r="A12" s="4" t="s">
        <v>84</v>
      </c>
      <c r="B12" s="5">
        <v>8.1231784968684799</v>
      </c>
      <c r="C12" s="6" t="str">
        <f>IF(B12&gt;$F$14,"★","")</f>
        <v/>
      </c>
      <c r="D12" s="7">
        <f t="shared" si="0"/>
        <v>0.90972599642692198</v>
      </c>
      <c r="E12" s="8" t="s">
        <v>106</v>
      </c>
      <c r="F12" s="7">
        <f>F11-F10</f>
        <v>2.0214599515529272</v>
      </c>
      <c r="G12" s="7">
        <f t="shared" si="1"/>
        <v>0.90972599642692198</v>
      </c>
      <c r="H12" s="7">
        <v>6.2388000000000003</v>
      </c>
      <c r="I12" s="7">
        <v>9.2710000000000008</v>
      </c>
      <c r="J12" s="7">
        <f t="shared" si="2"/>
        <v>0.79510106348120424</v>
      </c>
      <c r="K12" s="7">
        <f t="shared" si="3"/>
        <v>0.96712658107641281</v>
      </c>
      <c r="L12" s="7">
        <f t="shared" si="4"/>
        <v>1.5587085705331658</v>
      </c>
      <c r="M12" s="8" t="str">
        <f t="shared" si="5"/>
        <v>양주</v>
      </c>
      <c r="N12" s="7">
        <f t="shared" si="6"/>
        <v>8.1231784968684799</v>
      </c>
      <c r="O12" s="7">
        <v>6.2388000000000003</v>
      </c>
      <c r="P12" s="7">
        <v>9.2710000000000008</v>
      </c>
      <c r="Q12" s="8" t="str">
        <f t="shared" si="7"/>
        <v>양주</v>
      </c>
      <c r="R12" s="7">
        <f t="shared" si="8"/>
        <v>0.90972599642692198</v>
      </c>
      <c r="S12" s="7">
        <f t="shared" si="9"/>
        <v>0.79510106348120424</v>
      </c>
      <c r="T12" s="7">
        <f t="shared" si="10"/>
        <v>0.96712658107641281</v>
      </c>
      <c r="U12" s="7">
        <f t="shared" si="11"/>
        <v>1.5587085705331658</v>
      </c>
    </row>
    <row r="13" spans="1:25" x14ac:dyDescent="0.6">
      <c r="A13" s="4" t="s">
        <v>83</v>
      </c>
      <c r="B13" s="5">
        <v>8.0349517659537906</v>
      </c>
      <c r="C13" s="6" t="str">
        <f>IF(B13&gt;$F$14,"★","")</f>
        <v/>
      </c>
      <c r="D13" s="7">
        <f t="shared" si="0"/>
        <v>0.90498327402494094</v>
      </c>
      <c r="E13" s="8" t="s">
        <v>107</v>
      </c>
      <c r="F13" s="7">
        <f>F11+1.5*F12</f>
        <v>6.2387809812754451</v>
      </c>
      <c r="G13" s="7">
        <f t="shared" si="1"/>
        <v>0.90498327402494094</v>
      </c>
      <c r="H13" s="7">
        <v>6.2388000000000003</v>
      </c>
      <c r="I13" s="7">
        <v>9.2710000000000008</v>
      </c>
      <c r="J13" s="7">
        <f t="shared" si="2"/>
        <v>0.79510106348120424</v>
      </c>
      <c r="K13" s="7">
        <f t="shared" si="3"/>
        <v>0.96712658107641281</v>
      </c>
      <c r="L13" s="7">
        <f t="shared" si="4"/>
        <v>1.5587085705331658</v>
      </c>
      <c r="M13" s="8" t="str">
        <f t="shared" si="5"/>
        <v>컨셉카페</v>
      </c>
      <c r="N13" s="7">
        <f t="shared" si="6"/>
        <v>8.0349517659537906</v>
      </c>
      <c r="O13" s="7">
        <v>6.2388000000000003</v>
      </c>
      <c r="P13" s="7">
        <v>9.2710000000000008</v>
      </c>
      <c r="Q13" s="8" t="str">
        <f t="shared" si="7"/>
        <v>컨셉카페</v>
      </c>
      <c r="R13" s="7">
        <f t="shared" si="8"/>
        <v>0.90498327402494094</v>
      </c>
      <c r="S13" s="7">
        <f t="shared" si="9"/>
        <v>0.79510106348120424</v>
      </c>
      <c r="T13" s="7">
        <f t="shared" si="10"/>
        <v>0.96712658107641281</v>
      </c>
      <c r="U13" s="7">
        <f t="shared" si="11"/>
        <v>1.5587085705331658</v>
      </c>
    </row>
    <row r="14" spans="1:25" x14ac:dyDescent="0.6">
      <c r="A14" s="4" t="s">
        <v>82</v>
      </c>
      <c r="B14" s="5">
        <v>6.3624647092038398</v>
      </c>
      <c r="C14" s="6" t="str">
        <f>IF(B14&gt;$F$14,"★","")</f>
        <v/>
      </c>
      <c r="D14" s="7">
        <f t="shared" si="0"/>
        <v>0.80362538644256909</v>
      </c>
      <c r="E14" s="8" t="s">
        <v>108</v>
      </c>
      <c r="F14" s="7">
        <f>F11+3*F12</f>
        <v>9.270970908604836</v>
      </c>
      <c r="G14" s="7">
        <f t="shared" si="1"/>
        <v>0.80362538644256909</v>
      </c>
      <c r="H14" s="7">
        <v>6.2388000000000003</v>
      </c>
      <c r="I14" s="7">
        <v>9.2710000000000008</v>
      </c>
      <c r="J14" s="7">
        <f t="shared" si="2"/>
        <v>0.79510106348120424</v>
      </c>
      <c r="K14" s="7">
        <f t="shared" si="3"/>
        <v>0.96712658107641281</v>
      </c>
      <c r="L14" s="7">
        <f t="shared" si="4"/>
        <v>1.5587085705331658</v>
      </c>
      <c r="M14" s="8" t="str">
        <f t="shared" si="5"/>
        <v>야채</v>
      </c>
      <c r="N14" s="7">
        <f t="shared" si="6"/>
        <v>6.3624647092038398</v>
      </c>
      <c r="O14" s="7">
        <v>6.2388000000000003</v>
      </c>
      <c r="P14" s="7">
        <v>9.2710000000000008</v>
      </c>
      <c r="Q14" s="8" t="str">
        <f t="shared" si="7"/>
        <v>야채</v>
      </c>
      <c r="R14" s="7">
        <f t="shared" si="8"/>
        <v>0.80362538644256909</v>
      </c>
      <c r="S14" s="7">
        <f t="shared" si="9"/>
        <v>0.79510106348120424</v>
      </c>
      <c r="T14" s="7">
        <f t="shared" si="10"/>
        <v>0.96712658107641281</v>
      </c>
      <c r="U14" s="7">
        <f t="shared" si="11"/>
        <v>1.5587085705331658</v>
      </c>
    </row>
    <row r="15" spans="1:25" x14ac:dyDescent="0.6">
      <c r="A15" s="8" t="s">
        <v>81</v>
      </c>
      <c r="B15" s="7">
        <v>4.8872474032105799</v>
      </c>
      <c r="C15" s="8" t="str">
        <f>IF(B15&gt;$F$14,"★","")</f>
        <v/>
      </c>
      <c r="D15" s="7">
        <f t="shared" si="0"/>
        <v>0.6890643245263387</v>
      </c>
      <c r="E15" s="8"/>
      <c r="F15" s="8" t="str">
        <f>A15</f>
        <v>봉지면</v>
      </c>
      <c r="G15" s="7">
        <f t="shared" si="1"/>
        <v>0.6890643245263387</v>
      </c>
      <c r="H15" s="7">
        <v>6.2388000000000003</v>
      </c>
      <c r="I15" s="7">
        <v>9.2710000000000008</v>
      </c>
      <c r="J15" s="7">
        <f t="shared" si="2"/>
        <v>0.79510106348120424</v>
      </c>
      <c r="K15" s="7">
        <f t="shared" si="3"/>
        <v>0.96712658107641281</v>
      </c>
      <c r="L15" s="7">
        <f t="shared" si="4"/>
        <v>1.5587085705331658</v>
      </c>
      <c r="M15" s="8" t="str">
        <f t="shared" si="5"/>
        <v>봉지면</v>
      </c>
      <c r="N15" s="7">
        <f t="shared" si="6"/>
        <v>4.8872474032105799</v>
      </c>
      <c r="O15" s="7">
        <v>6.2388000000000003</v>
      </c>
      <c r="P15" s="7">
        <v>9.2710000000000008</v>
      </c>
      <c r="Q15" s="8" t="str">
        <f t="shared" si="7"/>
        <v>봉지면</v>
      </c>
      <c r="R15" s="7">
        <f t="shared" si="8"/>
        <v>0.6890643245263387</v>
      </c>
      <c r="S15" s="7">
        <f t="shared" si="9"/>
        <v>0.79510106348120424</v>
      </c>
      <c r="T15" s="7">
        <f t="shared" si="10"/>
        <v>0.96712658107641281</v>
      </c>
      <c r="U15" s="7">
        <f t="shared" si="11"/>
        <v>1.5587085705331658</v>
      </c>
    </row>
    <row r="16" spans="1:25" x14ac:dyDescent="0.6">
      <c r="A16" s="8" t="s">
        <v>80</v>
      </c>
      <c r="B16" s="7">
        <v>4.50851093124166</v>
      </c>
      <c r="C16" s="8" t="str">
        <f>IF(B16&gt;$F$14,"★","")</f>
        <v/>
      </c>
      <c r="D16" s="7">
        <f t="shared" si="0"/>
        <v>0.65403312699367888</v>
      </c>
      <c r="E16" s="3" t="s">
        <v>109</v>
      </c>
      <c r="F16" s="8" t="str">
        <f>A16</f>
        <v>냉장간편식</v>
      </c>
      <c r="G16" s="7">
        <f t="shared" si="1"/>
        <v>0.65403312699367888</v>
      </c>
      <c r="H16" s="7">
        <v>6.2388000000000003</v>
      </c>
      <c r="I16" s="7">
        <v>9.2710000000000008</v>
      </c>
      <c r="J16" s="7">
        <f t="shared" si="2"/>
        <v>0.79510106348120424</v>
      </c>
      <c r="K16" s="7">
        <f t="shared" si="3"/>
        <v>0.96712658107641281</v>
      </c>
      <c r="L16" s="7">
        <f t="shared" si="4"/>
        <v>1.5587085705331658</v>
      </c>
      <c r="M16" s="8" t="str">
        <f t="shared" si="5"/>
        <v>냉장간편식</v>
      </c>
      <c r="N16" s="7">
        <f t="shared" si="6"/>
        <v>4.50851093124166</v>
      </c>
      <c r="O16" s="7">
        <v>6.2388000000000003</v>
      </c>
      <c r="P16" s="7">
        <v>9.2710000000000008</v>
      </c>
      <c r="Q16" s="8" t="str">
        <f t="shared" si="7"/>
        <v>냉장간편식</v>
      </c>
      <c r="R16" s="7">
        <f t="shared" si="8"/>
        <v>0.65403312699367888</v>
      </c>
      <c r="S16" s="7">
        <f t="shared" si="9"/>
        <v>0.79510106348120424</v>
      </c>
      <c r="T16" s="7">
        <f t="shared" si="10"/>
        <v>0.96712658107641281</v>
      </c>
      <c r="U16" s="7">
        <f t="shared" si="11"/>
        <v>1.5587085705331658</v>
      </c>
    </row>
    <row r="17" spans="1:21" x14ac:dyDescent="0.6">
      <c r="A17" s="8" t="s">
        <v>79</v>
      </c>
      <c r="B17" s="7">
        <v>4.2809774847225404</v>
      </c>
      <c r="C17" s="8" t="str">
        <f>IF(B17&gt;$F$14,"★","")</f>
        <v/>
      </c>
      <c r="D17" s="7">
        <f t="shared" si="0"/>
        <v>0.63154294372160835</v>
      </c>
      <c r="E17" s="8" t="s">
        <v>117</v>
      </c>
      <c r="F17" s="8">
        <f>COUNTIF(B2:B91,"&gt;"&amp;F13)</f>
        <v>13</v>
      </c>
      <c r="G17" s="7">
        <f t="shared" si="1"/>
        <v>0.63154294372160835</v>
      </c>
      <c r="H17" s="7">
        <v>6.2388000000000003</v>
      </c>
      <c r="I17" s="7">
        <v>9.2710000000000008</v>
      </c>
      <c r="J17" s="7">
        <f t="shared" si="2"/>
        <v>0.79510106348120424</v>
      </c>
      <c r="K17" s="7">
        <f t="shared" si="3"/>
        <v>0.96712658107641281</v>
      </c>
      <c r="L17" s="7">
        <f t="shared" si="4"/>
        <v>1.5587085705331658</v>
      </c>
      <c r="M17" s="8" t="str">
        <f t="shared" si="5"/>
        <v>너트류</v>
      </c>
      <c r="N17" s="7">
        <f t="shared" si="6"/>
        <v>4.2809774847225404</v>
      </c>
      <c r="O17" s="7">
        <v>6.2388000000000003</v>
      </c>
      <c r="P17" s="7">
        <v>9.2710000000000008</v>
      </c>
      <c r="Q17" s="8" t="str">
        <f t="shared" si="7"/>
        <v>너트류</v>
      </c>
      <c r="R17" s="7">
        <f t="shared" si="8"/>
        <v>0.63154294372160835</v>
      </c>
      <c r="S17" s="7">
        <f t="shared" si="9"/>
        <v>0.79510106348120424</v>
      </c>
      <c r="T17" s="7">
        <f t="shared" si="10"/>
        <v>0.96712658107641281</v>
      </c>
      <c r="U17" s="7">
        <f t="shared" si="11"/>
        <v>1.5587085705331658</v>
      </c>
    </row>
    <row r="18" spans="1:21" x14ac:dyDescent="0.6">
      <c r="A18" s="8" t="s">
        <v>78</v>
      </c>
      <c r="B18" s="7">
        <v>4.2524257812500004</v>
      </c>
      <c r="C18" s="8" t="str">
        <f>IF(B18&gt;$F$14,"★","")</f>
        <v/>
      </c>
      <c r="D18" s="7">
        <f t="shared" si="0"/>
        <v>0.62863674249040069</v>
      </c>
      <c r="E18" s="8" t="s">
        <v>118</v>
      </c>
      <c r="F18" s="8">
        <f>COUNTIF(B2:B91,"&gt;"&amp;F14)</f>
        <v>8</v>
      </c>
      <c r="G18" s="7">
        <f t="shared" si="1"/>
        <v>0.62863674249040069</v>
      </c>
      <c r="H18" s="7">
        <v>6.2388000000000003</v>
      </c>
      <c r="I18" s="7">
        <v>9.2710000000000008</v>
      </c>
      <c r="J18" s="7">
        <f t="shared" si="2"/>
        <v>0.79510106348120424</v>
      </c>
      <c r="K18" s="7">
        <f t="shared" si="3"/>
        <v>0.96712658107641281</v>
      </c>
      <c r="L18" s="7">
        <f t="shared" si="4"/>
        <v>1.5587085705331658</v>
      </c>
      <c r="M18" s="8" t="str">
        <f t="shared" si="5"/>
        <v>조미료</v>
      </c>
      <c r="N18" s="7">
        <f t="shared" si="6"/>
        <v>4.2524257812500004</v>
      </c>
      <c r="O18" s="7">
        <v>6.2388000000000003</v>
      </c>
      <c r="P18" s="7">
        <v>9.2710000000000008</v>
      </c>
      <c r="Q18" s="8" t="str">
        <f t="shared" si="7"/>
        <v>조미료</v>
      </c>
      <c r="R18" s="7">
        <f t="shared" si="8"/>
        <v>0.62863674249040069</v>
      </c>
      <c r="S18" s="7">
        <f t="shared" si="9"/>
        <v>0.79510106348120424</v>
      </c>
      <c r="T18" s="7">
        <f t="shared" si="10"/>
        <v>0.96712658107641281</v>
      </c>
      <c r="U18" s="7">
        <f t="shared" si="11"/>
        <v>1.5587085705331658</v>
      </c>
    </row>
    <row r="19" spans="1:21" x14ac:dyDescent="0.6">
      <c r="A19" s="8" t="s">
        <v>77</v>
      </c>
      <c r="B19" s="7">
        <v>4.2429631076388903</v>
      </c>
      <c r="C19" s="8" t="str">
        <f>IF(B19&gt;$F$14,"★","")</f>
        <v/>
      </c>
      <c r="D19" s="7">
        <f t="shared" si="0"/>
        <v>0.62766925561330222</v>
      </c>
      <c r="E19" s="8" t="s">
        <v>110</v>
      </c>
      <c r="F19" s="8">
        <f>COUNTIF(B2:B91,"&gt;10")</f>
        <v>7</v>
      </c>
      <c r="G19" s="7">
        <f t="shared" si="1"/>
        <v>0.62766925561330222</v>
      </c>
      <c r="H19" s="7">
        <v>6.2388000000000003</v>
      </c>
      <c r="I19" s="7">
        <v>9.2710000000000008</v>
      </c>
      <c r="J19" s="7">
        <f t="shared" si="2"/>
        <v>0.79510106348120424</v>
      </c>
      <c r="K19" s="7">
        <f t="shared" si="3"/>
        <v>0.96712658107641281</v>
      </c>
      <c r="L19" s="7">
        <f t="shared" si="4"/>
        <v>1.5587085705331658</v>
      </c>
      <c r="M19" s="8" t="str">
        <f t="shared" si="5"/>
        <v>소주</v>
      </c>
      <c r="N19" s="7">
        <f t="shared" si="6"/>
        <v>4.2429631076388903</v>
      </c>
      <c r="O19" s="7">
        <v>6.2388000000000003</v>
      </c>
      <c r="P19" s="7">
        <v>9.2710000000000008</v>
      </c>
      <c r="Q19" s="8" t="str">
        <f t="shared" si="7"/>
        <v>소주</v>
      </c>
      <c r="R19" s="7">
        <f t="shared" si="8"/>
        <v>0.62766925561330222</v>
      </c>
      <c r="S19" s="7">
        <f t="shared" si="9"/>
        <v>0.79510106348120424</v>
      </c>
      <c r="T19" s="7">
        <f t="shared" si="10"/>
        <v>0.96712658107641281</v>
      </c>
      <c r="U19" s="7">
        <f t="shared" si="11"/>
        <v>1.5587085705331658</v>
      </c>
    </row>
    <row r="20" spans="1:21" x14ac:dyDescent="0.6">
      <c r="A20" s="8" t="s">
        <v>76</v>
      </c>
      <c r="B20" s="7">
        <v>4.1076973470052103</v>
      </c>
      <c r="C20" s="8" t="str">
        <f>IF(B20&gt;$F$14,"★","")</f>
        <v/>
      </c>
      <c r="D20" s="7">
        <f t="shared" si="0"/>
        <v>0.61359843751343812</v>
      </c>
      <c r="E20" s="8" t="s">
        <v>111</v>
      </c>
      <c r="F20" s="8">
        <f>COUNTIF(B2:B91,"&gt;20")</f>
        <v>4</v>
      </c>
      <c r="G20" s="7">
        <f t="shared" si="1"/>
        <v>0.61359843751343812</v>
      </c>
      <c r="H20" s="7">
        <v>6.2388000000000003</v>
      </c>
      <c r="I20" s="7">
        <v>9.2710000000000008</v>
      </c>
      <c r="J20" s="7">
        <f t="shared" si="2"/>
        <v>0.79510106348120424</v>
      </c>
      <c r="K20" s="7">
        <f t="shared" si="3"/>
        <v>0.96712658107641281</v>
      </c>
      <c r="L20" s="7">
        <f t="shared" si="4"/>
        <v>1.5587085705331658</v>
      </c>
      <c r="M20" s="8" t="str">
        <f t="shared" si="5"/>
        <v>커피</v>
      </c>
      <c r="N20" s="7">
        <f t="shared" si="6"/>
        <v>4.1076973470052103</v>
      </c>
      <c r="O20" s="7">
        <v>6.2388000000000003</v>
      </c>
      <c r="P20" s="7">
        <v>9.2710000000000008</v>
      </c>
      <c r="Q20" s="8" t="str">
        <f t="shared" si="7"/>
        <v>커피</v>
      </c>
      <c r="R20" s="7">
        <f t="shared" si="8"/>
        <v>0.61359843751343812</v>
      </c>
      <c r="S20" s="7">
        <f t="shared" si="9"/>
        <v>0.79510106348120424</v>
      </c>
      <c r="T20" s="7">
        <f t="shared" si="10"/>
        <v>0.96712658107641281</v>
      </c>
      <c r="U20" s="7">
        <f t="shared" si="11"/>
        <v>1.5587085705331658</v>
      </c>
    </row>
    <row r="21" spans="1:21" x14ac:dyDescent="0.6">
      <c r="A21" s="8" t="s">
        <v>75</v>
      </c>
      <c r="B21" s="7">
        <v>4.02202160819051</v>
      </c>
      <c r="C21" s="8" t="str">
        <f>IF(B21&gt;$F$14,"★","")</f>
        <v/>
      </c>
      <c r="D21" s="7">
        <f t="shared" si="0"/>
        <v>0.60444439950107465</v>
      </c>
      <c r="E21" s="9"/>
      <c r="F21" s="8" t="str">
        <f t="shared" ref="F21:F52" si="12">A21</f>
        <v>상온간편식</v>
      </c>
      <c r="G21" s="7">
        <f t="shared" si="1"/>
        <v>0.60444439950107465</v>
      </c>
      <c r="H21" s="7">
        <v>6.2388000000000003</v>
      </c>
      <c r="I21" s="7">
        <v>9.2710000000000008</v>
      </c>
      <c r="J21" s="7">
        <f t="shared" si="2"/>
        <v>0.79510106348120424</v>
      </c>
      <c r="K21" s="7">
        <f t="shared" si="3"/>
        <v>0.96712658107641281</v>
      </c>
      <c r="L21" s="7">
        <f t="shared" si="4"/>
        <v>1.5587085705331658</v>
      </c>
      <c r="M21" s="8" t="str">
        <f t="shared" si="5"/>
        <v>상온간편식</v>
      </c>
      <c r="N21" s="7">
        <f t="shared" si="6"/>
        <v>4.02202160819051</v>
      </c>
      <c r="O21" s="7">
        <v>6.2388000000000003</v>
      </c>
      <c r="P21" s="7">
        <v>9.2710000000000008</v>
      </c>
      <c r="Q21" s="8" t="str">
        <f t="shared" si="7"/>
        <v>상온간편식</v>
      </c>
      <c r="R21" s="7">
        <f t="shared" si="8"/>
        <v>0.60444439950107465</v>
      </c>
      <c r="S21" s="7">
        <f t="shared" si="9"/>
        <v>0.79510106348120424</v>
      </c>
      <c r="T21" s="7">
        <f t="shared" si="10"/>
        <v>0.96712658107641281</v>
      </c>
      <c r="U21" s="7">
        <f t="shared" si="11"/>
        <v>1.5587085705331658</v>
      </c>
    </row>
    <row r="22" spans="1:21" x14ac:dyDescent="0.6">
      <c r="A22" s="8" t="s">
        <v>74</v>
      </c>
      <c r="B22" s="7">
        <v>3.66569568704515</v>
      </c>
      <c r="C22" s="8" t="str">
        <f>IF(B22&gt;$F$14,"★","")</f>
        <v/>
      </c>
      <c r="D22" s="7">
        <f t="shared" si="0"/>
        <v>0.56415640854690263</v>
      </c>
      <c r="E22" s="9"/>
      <c r="F22" s="8" t="str">
        <f t="shared" si="12"/>
        <v>전통음료</v>
      </c>
      <c r="G22" s="7">
        <f t="shared" si="1"/>
        <v>0.56415640854690263</v>
      </c>
      <c r="H22" s="7">
        <v>6.2388000000000003</v>
      </c>
      <c r="I22" s="7">
        <v>9.2710000000000008</v>
      </c>
      <c r="J22" s="7">
        <f t="shared" si="2"/>
        <v>0.79510106348120424</v>
      </c>
      <c r="K22" s="7">
        <f t="shared" si="3"/>
        <v>0.96712658107641281</v>
      </c>
      <c r="L22" s="7">
        <f t="shared" si="4"/>
        <v>1.5587085705331658</v>
      </c>
      <c r="M22" s="8" t="str">
        <f t="shared" si="5"/>
        <v>전통음료</v>
      </c>
      <c r="N22" s="7">
        <f t="shared" si="6"/>
        <v>3.66569568704515</v>
      </c>
      <c r="O22" s="7">
        <v>6.2388000000000003</v>
      </c>
      <c r="P22" s="7">
        <v>9.2710000000000008</v>
      </c>
      <c r="Q22" s="8" t="str">
        <f t="shared" si="7"/>
        <v>전통음료</v>
      </c>
      <c r="R22" s="7">
        <f t="shared" si="8"/>
        <v>0.56415640854690263</v>
      </c>
      <c r="S22" s="7">
        <f t="shared" si="9"/>
        <v>0.79510106348120424</v>
      </c>
      <c r="T22" s="7">
        <f t="shared" si="10"/>
        <v>0.96712658107641281</v>
      </c>
      <c r="U22" s="7">
        <f t="shared" si="11"/>
        <v>1.5587085705331658</v>
      </c>
    </row>
    <row r="23" spans="1:21" x14ac:dyDescent="0.6">
      <c r="A23" s="8" t="s">
        <v>73</v>
      </c>
      <c r="B23" s="7">
        <v>3.3555986211197402</v>
      </c>
      <c r="C23" s="8" t="str">
        <f>IF(B23&gt;$F$14,"★","")</f>
        <v/>
      </c>
      <c r="D23" s="7">
        <f t="shared" si="0"/>
        <v>0.52577000726457435</v>
      </c>
      <c r="E23" s="9"/>
      <c r="F23" s="8" t="str">
        <f t="shared" si="12"/>
        <v>도시락</v>
      </c>
      <c r="G23" s="7">
        <f t="shared" si="1"/>
        <v>0.52577000726457435</v>
      </c>
      <c r="H23" s="7">
        <v>6.2388000000000003</v>
      </c>
      <c r="I23" s="7">
        <v>9.2710000000000008</v>
      </c>
      <c r="J23" s="7">
        <f t="shared" si="2"/>
        <v>0.79510106348120424</v>
      </c>
      <c r="K23" s="7">
        <f t="shared" si="3"/>
        <v>0.96712658107641281</v>
      </c>
      <c r="L23" s="7">
        <f t="shared" si="4"/>
        <v>1.5587085705331658</v>
      </c>
      <c r="M23" s="8" t="str">
        <f t="shared" si="5"/>
        <v>도시락</v>
      </c>
      <c r="N23" s="7">
        <f t="shared" si="6"/>
        <v>3.3555986211197402</v>
      </c>
      <c r="O23" s="7">
        <v>6.2388000000000003</v>
      </c>
      <c r="P23" s="7">
        <v>9.2710000000000008</v>
      </c>
      <c r="Q23" s="8" t="str">
        <f t="shared" si="7"/>
        <v>도시락</v>
      </c>
      <c r="R23" s="7">
        <f t="shared" si="8"/>
        <v>0.52577000726457435</v>
      </c>
      <c r="S23" s="7">
        <f t="shared" si="9"/>
        <v>0.79510106348120424</v>
      </c>
      <c r="T23" s="7">
        <f t="shared" si="10"/>
        <v>0.96712658107641281</v>
      </c>
      <c r="U23" s="7">
        <f t="shared" si="11"/>
        <v>1.5587085705331658</v>
      </c>
    </row>
    <row r="24" spans="1:21" x14ac:dyDescent="0.6">
      <c r="A24" s="8" t="s">
        <v>72</v>
      </c>
      <c r="B24" s="7">
        <v>3.2390884467881098</v>
      </c>
      <c r="C24" s="8" t="str">
        <f>IF(B24&gt;$F$14,"★","")</f>
        <v/>
      </c>
      <c r="D24" s="7">
        <f t="shared" si="0"/>
        <v>0.51042280704925491</v>
      </c>
      <c r="E24" s="9"/>
      <c r="F24" s="8" t="str">
        <f t="shared" si="12"/>
        <v>하이볼</v>
      </c>
      <c r="G24" s="7">
        <f t="shared" si="1"/>
        <v>0.51042280704925491</v>
      </c>
      <c r="H24" s="7">
        <v>6.2388000000000003</v>
      </c>
      <c r="I24" s="7">
        <v>9.2710000000000008</v>
      </c>
      <c r="J24" s="7">
        <f t="shared" si="2"/>
        <v>0.79510106348120424</v>
      </c>
      <c r="K24" s="7">
        <f t="shared" si="3"/>
        <v>0.96712658107641281</v>
      </c>
      <c r="L24" s="7">
        <f t="shared" si="4"/>
        <v>1.5587085705331658</v>
      </c>
      <c r="M24" s="8" t="str">
        <f t="shared" si="5"/>
        <v>하이볼</v>
      </c>
      <c r="N24" s="7">
        <f t="shared" si="6"/>
        <v>3.2390884467881098</v>
      </c>
      <c r="O24" s="7">
        <v>6.2388000000000003</v>
      </c>
      <c r="P24" s="7">
        <v>9.2710000000000008</v>
      </c>
      <c r="Q24" s="8" t="str">
        <f t="shared" si="7"/>
        <v>하이볼</v>
      </c>
      <c r="R24" s="7">
        <f t="shared" si="8"/>
        <v>0.51042280704925491</v>
      </c>
      <c r="S24" s="7">
        <f t="shared" si="9"/>
        <v>0.79510106348120424</v>
      </c>
      <c r="T24" s="7">
        <f t="shared" si="10"/>
        <v>0.96712658107641281</v>
      </c>
      <c r="U24" s="7">
        <f t="shared" si="11"/>
        <v>1.5587085705331658</v>
      </c>
    </row>
    <row r="25" spans="1:21" x14ac:dyDescent="0.6">
      <c r="A25" s="8" t="s">
        <v>71</v>
      </c>
      <c r="B25" s="7">
        <v>3.1090988754198898</v>
      </c>
      <c r="C25" s="8" t="str">
        <f>IF(B25&gt;$F$14,"★","")</f>
        <v/>
      </c>
      <c r="D25" s="7">
        <f t="shared" si="0"/>
        <v>0.49263453367601334</v>
      </c>
      <c r="E25" s="9"/>
      <c r="F25" s="8" t="str">
        <f t="shared" si="12"/>
        <v>건해산물</v>
      </c>
      <c r="G25" s="7">
        <f t="shared" si="1"/>
        <v>0.49263453367601334</v>
      </c>
      <c r="H25" s="7">
        <v>6.2388000000000003</v>
      </c>
      <c r="I25" s="7">
        <v>9.2710000000000008</v>
      </c>
      <c r="J25" s="7">
        <f t="shared" si="2"/>
        <v>0.79510106348120424</v>
      </c>
      <c r="K25" s="7">
        <f t="shared" si="3"/>
        <v>0.96712658107641281</v>
      </c>
      <c r="L25" s="7">
        <f t="shared" si="4"/>
        <v>1.5587085705331658</v>
      </c>
      <c r="M25" s="8" t="str">
        <f t="shared" si="5"/>
        <v>건해산물</v>
      </c>
      <c r="N25" s="7">
        <f t="shared" si="6"/>
        <v>3.1090988754198898</v>
      </c>
      <c r="O25" s="7">
        <v>6.2388000000000003</v>
      </c>
      <c r="P25" s="7">
        <v>9.2710000000000008</v>
      </c>
      <c r="Q25" s="8" t="str">
        <f t="shared" si="7"/>
        <v>건해산물</v>
      </c>
      <c r="R25" s="7">
        <f t="shared" si="8"/>
        <v>0.49263453367601334</v>
      </c>
      <c r="S25" s="7">
        <f t="shared" si="9"/>
        <v>0.79510106348120424</v>
      </c>
      <c r="T25" s="7">
        <f t="shared" si="10"/>
        <v>0.96712658107641281</v>
      </c>
      <c r="U25" s="7">
        <f t="shared" si="11"/>
        <v>1.5587085705331658</v>
      </c>
    </row>
    <row r="26" spans="1:21" x14ac:dyDescent="0.6">
      <c r="A26" s="8" t="s">
        <v>70</v>
      </c>
      <c r="B26" s="7">
        <v>3.0071871121316902</v>
      </c>
      <c r="C26" s="8" t="str">
        <f>IF(B26&gt;$F$14,"★","")</f>
        <v/>
      </c>
      <c r="D26" s="7">
        <f t="shared" si="0"/>
        <v>0.47816045145872083</v>
      </c>
      <c r="E26" s="9"/>
      <c r="F26" s="8" t="str">
        <f t="shared" si="12"/>
        <v>커피음료</v>
      </c>
      <c r="G26" s="7">
        <f t="shared" si="1"/>
        <v>0.47816045145872083</v>
      </c>
      <c r="H26" s="7">
        <v>6.2388000000000003</v>
      </c>
      <c r="I26" s="7">
        <v>9.2710000000000008</v>
      </c>
      <c r="J26" s="7">
        <f t="shared" si="2"/>
        <v>0.79510106348120424</v>
      </c>
      <c r="K26" s="7">
        <f t="shared" si="3"/>
        <v>0.96712658107641281</v>
      </c>
      <c r="L26" s="7">
        <f t="shared" si="4"/>
        <v>1.5587085705331658</v>
      </c>
      <c r="M26" s="8" t="str">
        <f t="shared" si="5"/>
        <v>커피음료</v>
      </c>
      <c r="N26" s="7">
        <f t="shared" si="6"/>
        <v>3.0071871121316902</v>
      </c>
      <c r="O26" s="7">
        <v>6.2388000000000003</v>
      </c>
      <c r="P26" s="7">
        <v>9.2710000000000008</v>
      </c>
      <c r="Q26" s="8" t="str">
        <f t="shared" si="7"/>
        <v>커피음료</v>
      </c>
      <c r="R26" s="7">
        <f t="shared" si="8"/>
        <v>0.47816045145872083</v>
      </c>
      <c r="S26" s="7">
        <f t="shared" si="9"/>
        <v>0.79510106348120424</v>
      </c>
      <c r="T26" s="7">
        <f t="shared" si="10"/>
        <v>0.96712658107641281</v>
      </c>
      <c r="U26" s="7">
        <f t="shared" si="11"/>
        <v>1.5587085705331658</v>
      </c>
    </row>
    <row r="27" spans="1:21" x14ac:dyDescent="0.6">
      <c r="A27" s="8" t="s">
        <v>69</v>
      </c>
      <c r="B27" s="7">
        <v>2.9580950830172701</v>
      </c>
      <c r="C27" s="8" t="str">
        <f>IF(B27&gt;$F$14,"★","")</f>
        <v/>
      </c>
      <c r="D27" s="7">
        <f t="shared" si="0"/>
        <v>0.47101212955473853</v>
      </c>
      <c r="E27" s="9"/>
      <c r="F27" s="8" t="str">
        <f t="shared" si="12"/>
        <v>건강/이너뷰티</v>
      </c>
      <c r="G27" s="7">
        <f t="shared" si="1"/>
        <v>0.47101212955473853</v>
      </c>
      <c r="H27" s="7">
        <v>6.2388000000000003</v>
      </c>
      <c r="I27" s="7">
        <v>9.2710000000000008</v>
      </c>
      <c r="J27" s="7">
        <f t="shared" si="2"/>
        <v>0.79510106348120424</v>
      </c>
      <c r="K27" s="7">
        <f t="shared" si="3"/>
        <v>0.96712658107641281</v>
      </c>
      <c r="L27" s="7">
        <f t="shared" si="4"/>
        <v>1.5587085705331658</v>
      </c>
      <c r="M27" s="8" t="str">
        <f t="shared" si="5"/>
        <v>건강/이너뷰티</v>
      </c>
      <c r="N27" s="7">
        <f t="shared" si="6"/>
        <v>2.9580950830172701</v>
      </c>
      <c r="O27" s="7">
        <v>6.2388000000000003</v>
      </c>
      <c r="P27" s="7">
        <v>9.2710000000000008</v>
      </c>
      <c r="Q27" s="8" t="str">
        <f t="shared" si="7"/>
        <v>건강/이너뷰티</v>
      </c>
      <c r="R27" s="7">
        <f t="shared" si="8"/>
        <v>0.47101212955473853</v>
      </c>
      <c r="S27" s="7">
        <f t="shared" si="9"/>
        <v>0.79510106348120424</v>
      </c>
      <c r="T27" s="7">
        <f t="shared" si="10"/>
        <v>0.96712658107641281</v>
      </c>
      <c r="U27" s="7">
        <f t="shared" si="11"/>
        <v>1.5587085705331658</v>
      </c>
    </row>
    <row r="28" spans="1:21" x14ac:dyDescent="0.6">
      <c r="A28" s="8" t="s">
        <v>68</v>
      </c>
      <c r="B28" s="7">
        <v>2.8497325828853</v>
      </c>
      <c r="C28" s="8" t="str">
        <f>IF(B28&gt;$F$14,"★","")</f>
        <v/>
      </c>
      <c r="D28" s="7">
        <f t="shared" si="0"/>
        <v>0.45480410799929677</v>
      </c>
      <c r="E28" s="9"/>
      <c r="F28" s="8" t="str">
        <f t="shared" si="12"/>
        <v>수축산/계란</v>
      </c>
      <c r="G28" s="7">
        <f t="shared" si="1"/>
        <v>0.45480410799929677</v>
      </c>
      <c r="H28" s="7">
        <v>6.2388000000000003</v>
      </c>
      <c r="I28" s="7">
        <v>9.2710000000000008</v>
      </c>
      <c r="J28" s="7">
        <f t="shared" si="2"/>
        <v>0.79510106348120424</v>
      </c>
      <c r="K28" s="7">
        <f t="shared" si="3"/>
        <v>0.96712658107641281</v>
      </c>
      <c r="L28" s="7">
        <f t="shared" si="4"/>
        <v>1.5587085705331658</v>
      </c>
      <c r="M28" s="8" t="str">
        <f t="shared" si="5"/>
        <v>수축산/계란</v>
      </c>
      <c r="N28" s="7">
        <f t="shared" si="6"/>
        <v>2.8497325828853</v>
      </c>
      <c r="O28" s="7">
        <v>6.2388000000000003</v>
      </c>
      <c r="P28" s="7">
        <v>9.2710000000000008</v>
      </c>
      <c r="Q28" s="8" t="str">
        <f t="shared" si="7"/>
        <v>수축산/계란</v>
      </c>
      <c r="R28" s="7">
        <f t="shared" si="8"/>
        <v>0.45480410799929677</v>
      </c>
      <c r="S28" s="7">
        <f t="shared" si="9"/>
        <v>0.79510106348120424</v>
      </c>
      <c r="T28" s="7">
        <f t="shared" si="10"/>
        <v>0.96712658107641281</v>
      </c>
      <c r="U28" s="7">
        <f t="shared" si="11"/>
        <v>1.5587085705331658</v>
      </c>
    </row>
    <row r="29" spans="1:21" x14ac:dyDescent="0.6">
      <c r="A29" s="8" t="s">
        <v>67</v>
      </c>
      <c r="B29" s="7">
        <v>2.8226125211482</v>
      </c>
      <c r="C29" s="8" t="str">
        <f>IF(B29&gt;$F$14,"★","")</f>
        <v/>
      </c>
      <c r="D29" s="7">
        <f t="shared" si="0"/>
        <v>0.45065126373773884</v>
      </c>
      <c r="E29" s="9"/>
      <c r="F29" s="8" t="str">
        <f t="shared" si="12"/>
        <v>비스킷류</v>
      </c>
      <c r="G29" s="7">
        <f t="shared" si="1"/>
        <v>0.45065126373773884</v>
      </c>
      <c r="H29" s="7">
        <v>6.2388000000000003</v>
      </c>
      <c r="I29" s="7">
        <v>9.2710000000000008</v>
      </c>
      <c r="J29" s="7">
        <f t="shared" si="2"/>
        <v>0.79510106348120424</v>
      </c>
      <c r="K29" s="7">
        <f t="shared" si="3"/>
        <v>0.96712658107641281</v>
      </c>
      <c r="L29" s="7">
        <f t="shared" si="4"/>
        <v>1.5587085705331658</v>
      </c>
      <c r="M29" s="8" t="str">
        <f t="shared" si="5"/>
        <v>비스킷류</v>
      </c>
      <c r="N29" s="7">
        <f t="shared" si="6"/>
        <v>2.8226125211482</v>
      </c>
      <c r="O29" s="7">
        <v>6.2388000000000003</v>
      </c>
      <c r="P29" s="7">
        <v>9.2710000000000008</v>
      </c>
      <c r="Q29" s="8" t="str">
        <f t="shared" si="7"/>
        <v>비스킷류</v>
      </c>
      <c r="R29" s="7">
        <f t="shared" si="8"/>
        <v>0.45065126373773884</v>
      </c>
      <c r="S29" s="7">
        <f t="shared" si="9"/>
        <v>0.79510106348120424</v>
      </c>
      <c r="T29" s="7">
        <f t="shared" si="10"/>
        <v>0.96712658107641281</v>
      </c>
      <c r="U29" s="7">
        <f t="shared" si="11"/>
        <v>1.5587085705331658</v>
      </c>
    </row>
    <row r="30" spans="1:21" x14ac:dyDescent="0.6">
      <c r="A30" s="8" t="s">
        <v>66</v>
      </c>
      <c r="B30" s="7">
        <v>2.7366949804250602</v>
      </c>
      <c r="C30" s="8" t="str">
        <f>IF(B30&gt;$F$14,"★","")</f>
        <v/>
      </c>
      <c r="D30" s="7">
        <f t="shared" si="0"/>
        <v>0.43722639561978649</v>
      </c>
      <c r="E30" s="9"/>
      <c r="F30" s="8" t="str">
        <f t="shared" si="12"/>
        <v>무알콜맥주</v>
      </c>
      <c r="G30" s="7">
        <f t="shared" si="1"/>
        <v>0.43722639561978649</v>
      </c>
      <c r="H30" s="7">
        <v>6.2388000000000003</v>
      </c>
      <c r="I30" s="7">
        <v>9.2710000000000008</v>
      </c>
      <c r="J30" s="7">
        <f t="shared" si="2"/>
        <v>0.79510106348120424</v>
      </c>
      <c r="K30" s="7">
        <f t="shared" si="3"/>
        <v>0.96712658107641281</v>
      </c>
      <c r="L30" s="7">
        <f t="shared" si="4"/>
        <v>1.5587085705331658</v>
      </c>
      <c r="M30" s="8" t="str">
        <f t="shared" si="5"/>
        <v>무알콜맥주</v>
      </c>
      <c r="N30" s="7">
        <f t="shared" si="6"/>
        <v>2.7366949804250602</v>
      </c>
      <c r="O30" s="7">
        <v>6.2388000000000003</v>
      </c>
      <c r="P30" s="7">
        <v>9.2710000000000008</v>
      </c>
      <c r="Q30" s="8" t="str">
        <f t="shared" si="7"/>
        <v>무알콜맥주</v>
      </c>
      <c r="R30" s="7">
        <f t="shared" si="8"/>
        <v>0.43722639561978649</v>
      </c>
      <c r="S30" s="7">
        <f t="shared" si="9"/>
        <v>0.79510106348120424</v>
      </c>
      <c r="T30" s="7">
        <f t="shared" si="10"/>
        <v>0.96712658107641281</v>
      </c>
      <c r="U30" s="7">
        <f t="shared" si="11"/>
        <v>1.5587085705331658</v>
      </c>
    </row>
    <row r="31" spans="1:21" x14ac:dyDescent="0.6">
      <c r="A31" s="8" t="s">
        <v>65</v>
      </c>
      <c r="B31" s="7">
        <v>2.7330201867847301</v>
      </c>
      <c r="C31" s="8" t="str">
        <f>IF(B31&gt;$F$14,"★","")</f>
        <v/>
      </c>
      <c r="D31" s="7">
        <f t="shared" si="0"/>
        <v>0.43664283951440891</v>
      </c>
      <c r="E31" s="9"/>
      <c r="F31" s="8" t="str">
        <f t="shared" si="12"/>
        <v>즉석치킨</v>
      </c>
      <c r="G31" s="7">
        <f t="shared" si="1"/>
        <v>0.43664283951440891</v>
      </c>
      <c r="H31" s="7">
        <v>6.2388000000000003</v>
      </c>
      <c r="I31" s="7">
        <v>9.2710000000000008</v>
      </c>
      <c r="J31" s="7">
        <f t="shared" si="2"/>
        <v>0.79510106348120424</v>
      </c>
      <c r="K31" s="7">
        <f t="shared" si="3"/>
        <v>0.96712658107641281</v>
      </c>
      <c r="L31" s="7">
        <f t="shared" si="4"/>
        <v>1.5587085705331658</v>
      </c>
      <c r="M31" s="8" t="str">
        <f t="shared" si="5"/>
        <v>즉석치킨</v>
      </c>
      <c r="N31" s="7">
        <f t="shared" si="6"/>
        <v>2.7330201867847301</v>
      </c>
      <c r="O31" s="7">
        <v>6.2388000000000003</v>
      </c>
      <c r="P31" s="7">
        <v>9.2710000000000008</v>
      </c>
      <c r="Q31" s="8" t="str">
        <f t="shared" si="7"/>
        <v>즉석치킨</v>
      </c>
      <c r="R31" s="7">
        <f t="shared" si="8"/>
        <v>0.43664283951440891</v>
      </c>
      <c r="S31" s="7">
        <f t="shared" si="9"/>
        <v>0.79510106348120424</v>
      </c>
      <c r="T31" s="7">
        <f t="shared" si="10"/>
        <v>0.96712658107641281</v>
      </c>
      <c r="U31" s="7">
        <f t="shared" si="11"/>
        <v>1.5587085705331658</v>
      </c>
    </row>
    <row r="32" spans="1:21" x14ac:dyDescent="0.6">
      <c r="A32" s="8" t="s">
        <v>64</v>
      </c>
      <c r="B32" s="7">
        <v>2.5863330050203399</v>
      </c>
      <c r="C32" s="8" t="str">
        <f>IF(B32&gt;$F$14,"★","")</f>
        <v/>
      </c>
      <c r="D32" s="7">
        <f t="shared" si="0"/>
        <v>0.41268444201843313</v>
      </c>
      <c r="E32" s="9"/>
      <c r="F32" s="8" t="str">
        <f t="shared" si="12"/>
        <v>초콜릿</v>
      </c>
      <c r="G32" s="7">
        <f t="shared" si="1"/>
        <v>0.41268444201843313</v>
      </c>
      <c r="H32" s="7">
        <v>6.2388000000000003</v>
      </c>
      <c r="I32" s="7">
        <v>9.2710000000000008</v>
      </c>
      <c r="J32" s="7">
        <f t="shared" si="2"/>
        <v>0.79510106348120424</v>
      </c>
      <c r="K32" s="7">
        <f t="shared" si="3"/>
        <v>0.96712658107641281</v>
      </c>
      <c r="L32" s="7">
        <f t="shared" si="4"/>
        <v>1.5587085705331658</v>
      </c>
      <c r="M32" s="8" t="str">
        <f t="shared" si="5"/>
        <v>초콜릿</v>
      </c>
      <c r="N32" s="7">
        <f t="shared" si="6"/>
        <v>2.5863330050203399</v>
      </c>
      <c r="O32" s="7">
        <v>6.2388000000000003</v>
      </c>
      <c r="P32" s="7">
        <v>9.2710000000000008</v>
      </c>
      <c r="Q32" s="8" t="str">
        <f t="shared" si="7"/>
        <v>초콜릿</v>
      </c>
      <c r="R32" s="7">
        <f t="shared" si="8"/>
        <v>0.41268444201843313</v>
      </c>
      <c r="S32" s="7">
        <f t="shared" si="9"/>
        <v>0.79510106348120424</v>
      </c>
      <c r="T32" s="7">
        <f t="shared" si="10"/>
        <v>0.96712658107641281</v>
      </c>
      <c r="U32" s="7">
        <f t="shared" si="11"/>
        <v>1.5587085705331658</v>
      </c>
    </row>
    <row r="33" spans="1:21" x14ac:dyDescent="0.6">
      <c r="A33" s="8" t="s">
        <v>63</v>
      </c>
      <c r="B33" s="7">
        <v>2.5369387755102002</v>
      </c>
      <c r="C33" s="8" t="str">
        <f>IF(B33&gt;$F$14,"★","")</f>
        <v/>
      </c>
      <c r="D33" s="7">
        <f t="shared" si="0"/>
        <v>0.40430998642594068</v>
      </c>
      <c r="E33" s="9"/>
      <c r="F33" s="8" t="str">
        <f t="shared" si="12"/>
        <v>쌀/잡곡</v>
      </c>
      <c r="G33" s="7">
        <f t="shared" si="1"/>
        <v>0.40430998642594068</v>
      </c>
      <c r="H33" s="7">
        <v>6.2388000000000003</v>
      </c>
      <c r="I33" s="7">
        <v>9.2710000000000008</v>
      </c>
      <c r="J33" s="7">
        <f t="shared" si="2"/>
        <v>0.79510106348120424</v>
      </c>
      <c r="K33" s="7">
        <f t="shared" si="3"/>
        <v>0.96712658107641281</v>
      </c>
      <c r="L33" s="7">
        <f t="shared" si="4"/>
        <v>1.5587085705331658</v>
      </c>
      <c r="M33" s="8" t="str">
        <f t="shared" si="5"/>
        <v>쌀/잡곡</v>
      </c>
      <c r="N33" s="7">
        <f t="shared" si="6"/>
        <v>2.5369387755102002</v>
      </c>
      <c r="O33" s="7">
        <v>6.2388000000000003</v>
      </c>
      <c r="P33" s="7">
        <v>9.2710000000000008</v>
      </c>
      <c r="Q33" s="8" t="str">
        <f t="shared" si="7"/>
        <v>쌀/잡곡</v>
      </c>
      <c r="R33" s="7">
        <f t="shared" si="8"/>
        <v>0.40430998642594068</v>
      </c>
      <c r="S33" s="7">
        <f t="shared" si="9"/>
        <v>0.79510106348120424</v>
      </c>
      <c r="T33" s="7">
        <f t="shared" si="10"/>
        <v>0.96712658107641281</v>
      </c>
      <c r="U33" s="7">
        <f t="shared" si="11"/>
        <v>1.5587085705331658</v>
      </c>
    </row>
    <row r="34" spans="1:21" x14ac:dyDescent="0.6">
      <c r="A34" s="8" t="s">
        <v>62</v>
      </c>
      <c r="B34" s="7">
        <v>2.5011440104166698</v>
      </c>
      <c r="C34" s="8" t="str">
        <f>IF(B34&gt;$F$14,"★","")</f>
        <v/>
      </c>
      <c r="D34" s="7">
        <f t="shared" ref="D34:D65" si="13">LOG10(B34)</f>
        <v>0.39813869817941056</v>
      </c>
      <c r="E34" s="9"/>
      <c r="F34" s="8" t="str">
        <f t="shared" si="12"/>
        <v>캔</v>
      </c>
      <c r="G34" s="7">
        <f t="shared" ref="G34:G65" si="14">LOG10(B34)</f>
        <v>0.39813869817941056</v>
      </c>
      <c r="H34" s="7">
        <v>6.2388000000000003</v>
      </c>
      <c r="I34" s="7">
        <v>9.2710000000000008</v>
      </c>
      <c r="J34" s="7">
        <f t="shared" ref="J34:J65" si="15">LOG10(6.2388)</f>
        <v>0.79510106348120424</v>
      </c>
      <c r="K34" s="7">
        <f t="shared" ref="K34:K65" si="16">LOG10(9.271)</f>
        <v>0.96712658107641281</v>
      </c>
      <c r="L34" s="7">
        <f t="shared" ref="L34:L65" si="17">LOG10(36.2)</f>
        <v>1.5587085705331658</v>
      </c>
      <c r="M34" s="8" t="str">
        <f t="shared" ref="M34:M65" si="18">A34</f>
        <v>캔</v>
      </c>
      <c r="N34" s="7">
        <f t="shared" ref="N34:N65" si="19">B34</f>
        <v>2.5011440104166698</v>
      </c>
      <c r="O34" s="7">
        <v>6.2388000000000003</v>
      </c>
      <c r="P34" s="7">
        <v>9.2710000000000008</v>
      </c>
      <c r="Q34" s="8" t="str">
        <f t="shared" ref="Q34:Q65" si="20">A34</f>
        <v>캔</v>
      </c>
      <c r="R34" s="7">
        <f t="shared" ref="R34:R65" si="21">LOG10(B34)</f>
        <v>0.39813869817941056</v>
      </c>
      <c r="S34" s="7">
        <f t="shared" ref="S34:S65" si="22">LOG10(6.2388)</f>
        <v>0.79510106348120424</v>
      </c>
      <c r="T34" s="7">
        <f t="shared" ref="T34:T65" si="23">LOG10(9.271)</f>
        <v>0.96712658107641281</v>
      </c>
      <c r="U34" s="7">
        <f t="shared" ref="U34:U65" si="24">LOG10(36.2)</f>
        <v>1.5587085705331658</v>
      </c>
    </row>
    <row r="35" spans="1:21" x14ac:dyDescent="0.6">
      <c r="A35" s="8" t="s">
        <v>61</v>
      </c>
      <c r="B35" s="7">
        <v>2.4716553091201399</v>
      </c>
      <c r="C35" s="8" t="str">
        <f>IF(B35&gt;$F$14,"★","")</f>
        <v/>
      </c>
      <c r="D35" s="7">
        <f t="shared" si="13"/>
        <v>0.39298790501515624</v>
      </c>
      <c r="E35" s="9"/>
      <c r="F35" s="8" t="str">
        <f t="shared" si="12"/>
        <v>신선냉동</v>
      </c>
      <c r="G35" s="7">
        <f t="shared" si="14"/>
        <v>0.39298790501515624</v>
      </c>
      <c r="H35" s="7">
        <v>6.2388000000000003</v>
      </c>
      <c r="I35" s="7">
        <v>9.2710000000000008</v>
      </c>
      <c r="J35" s="7">
        <f t="shared" si="15"/>
        <v>0.79510106348120424</v>
      </c>
      <c r="K35" s="7">
        <f t="shared" si="16"/>
        <v>0.96712658107641281</v>
      </c>
      <c r="L35" s="7">
        <f t="shared" si="17"/>
        <v>1.5587085705331658</v>
      </c>
      <c r="M35" s="8" t="str">
        <f t="shared" si="18"/>
        <v>신선냉동</v>
      </c>
      <c r="N35" s="7">
        <f t="shared" si="19"/>
        <v>2.4716553091201399</v>
      </c>
      <c r="O35" s="7">
        <v>6.2388000000000003</v>
      </c>
      <c r="P35" s="7">
        <v>9.2710000000000008</v>
      </c>
      <c r="Q35" s="8" t="str">
        <f t="shared" si="20"/>
        <v>신선냉동</v>
      </c>
      <c r="R35" s="7">
        <f t="shared" si="21"/>
        <v>0.39298790501515624</v>
      </c>
      <c r="S35" s="7">
        <f t="shared" si="22"/>
        <v>0.79510106348120424</v>
      </c>
      <c r="T35" s="7">
        <f t="shared" si="23"/>
        <v>0.96712658107641281</v>
      </c>
      <c r="U35" s="7">
        <f t="shared" si="24"/>
        <v>1.5587085705331658</v>
      </c>
    </row>
    <row r="36" spans="1:21" x14ac:dyDescent="0.6">
      <c r="A36" s="8" t="s">
        <v>60</v>
      </c>
      <c r="B36" s="7">
        <v>2.3953879450193001</v>
      </c>
      <c r="C36" s="8" t="str">
        <f>IF(B36&gt;$F$14,"★","")</f>
        <v/>
      </c>
      <c r="D36" s="7">
        <f t="shared" si="13"/>
        <v>0.37937585960325282</v>
      </c>
      <c r="E36" s="9"/>
      <c r="F36" s="8" t="str">
        <f t="shared" si="12"/>
        <v>기능성드링크</v>
      </c>
      <c r="G36" s="7">
        <f t="shared" si="14"/>
        <v>0.37937585960325282</v>
      </c>
      <c r="H36" s="7">
        <v>6.2388000000000003</v>
      </c>
      <c r="I36" s="7">
        <v>9.2710000000000008</v>
      </c>
      <c r="J36" s="7">
        <f t="shared" si="15"/>
        <v>0.79510106348120424</v>
      </c>
      <c r="K36" s="7">
        <f t="shared" si="16"/>
        <v>0.96712658107641281</v>
      </c>
      <c r="L36" s="7">
        <f t="shared" si="17"/>
        <v>1.5587085705331658</v>
      </c>
      <c r="M36" s="8" t="str">
        <f t="shared" si="18"/>
        <v>기능성드링크</v>
      </c>
      <c r="N36" s="7">
        <f t="shared" si="19"/>
        <v>2.3953879450193001</v>
      </c>
      <c r="O36" s="7">
        <v>6.2388000000000003</v>
      </c>
      <c r="P36" s="7">
        <v>9.2710000000000008</v>
      </c>
      <c r="Q36" s="8" t="str">
        <f t="shared" si="20"/>
        <v>기능성드링크</v>
      </c>
      <c r="R36" s="7">
        <f t="shared" si="21"/>
        <v>0.37937585960325282</v>
      </c>
      <c r="S36" s="7">
        <f t="shared" si="22"/>
        <v>0.79510106348120424</v>
      </c>
      <c r="T36" s="7">
        <f t="shared" si="23"/>
        <v>0.96712658107641281</v>
      </c>
      <c r="U36" s="7">
        <f t="shared" si="24"/>
        <v>1.5587085705331658</v>
      </c>
    </row>
    <row r="37" spans="1:21" x14ac:dyDescent="0.6">
      <c r="A37" s="8" t="s">
        <v>59</v>
      </c>
      <c r="B37" s="7">
        <v>2.2362364366319398</v>
      </c>
      <c r="C37" s="8" t="str">
        <f>IF(B37&gt;$F$14,"★","")</f>
        <v/>
      </c>
      <c r="D37" s="7">
        <f t="shared" si="13"/>
        <v>0.34951771947201155</v>
      </c>
      <c r="E37" s="9"/>
      <c r="F37" s="8" t="str">
        <f t="shared" si="12"/>
        <v>소스류</v>
      </c>
      <c r="G37" s="7">
        <f t="shared" si="14"/>
        <v>0.34951771947201155</v>
      </c>
      <c r="H37" s="7">
        <v>6.2388000000000003</v>
      </c>
      <c r="I37" s="7">
        <v>9.2710000000000008</v>
      </c>
      <c r="J37" s="7">
        <f t="shared" si="15"/>
        <v>0.79510106348120424</v>
      </c>
      <c r="K37" s="7">
        <f t="shared" si="16"/>
        <v>0.96712658107641281</v>
      </c>
      <c r="L37" s="7">
        <f t="shared" si="17"/>
        <v>1.5587085705331658</v>
      </c>
      <c r="M37" s="8" t="str">
        <f t="shared" si="18"/>
        <v>소스류</v>
      </c>
      <c r="N37" s="7">
        <f t="shared" si="19"/>
        <v>2.2362364366319398</v>
      </c>
      <c r="O37" s="7">
        <v>6.2388000000000003</v>
      </c>
      <c r="P37" s="7">
        <v>9.2710000000000008</v>
      </c>
      <c r="Q37" s="8" t="str">
        <f t="shared" si="20"/>
        <v>소스류</v>
      </c>
      <c r="R37" s="7">
        <f t="shared" si="21"/>
        <v>0.34951771947201155</v>
      </c>
      <c r="S37" s="7">
        <f t="shared" si="22"/>
        <v>0.79510106348120424</v>
      </c>
      <c r="T37" s="7">
        <f t="shared" si="23"/>
        <v>0.96712658107641281</v>
      </c>
      <c r="U37" s="7">
        <f t="shared" si="24"/>
        <v>1.5587085705331658</v>
      </c>
    </row>
    <row r="38" spans="1:21" x14ac:dyDescent="0.6">
      <c r="A38" s="8" t="s">
        <v>58</v>
      </c>
      <c r="B38" s="7">
        <v>2.12101929273995</v>
      </c>
      <c r="C38" s="8" t="str">
        <f>IF(B38&gt;$F$14,"★","")</f>
        <v/>
      </c>
      <c r="D38" s="7">
        <f t="shared" si="13"/>
        <v>0.32654461886658287</v>
      </c>
      <c r="E38" s="9"/>
      <c r="F38" s="8" t="str">
        <f t="shared" si="12"/>
        <v>냉동간편식</v>
      </c>
      <c r="G38" s="7">
        <f t="shared" si="14"/>
        <v>0.32654461886658287</v>
      </c>
      <c r="H38" s="7">
        <v>6.2388000000000003</v>
      </c>
      <c r="I38" s="7">
        <v>9.2710000000000008</v>
      </c>
      <c r="J38" s="7">
        <f t="shared" si="15"/>
        <v>0.79510106348120424</v>
      </c>
      <c r="K38" s="7">
        <f t="shared" si="16"/>
        <v>0.96712658107641281</v>
      </c>
      <c r="L38" s="7">
        <f t="shared" si="17"/>
        <v>1.5587085705331658</v>
      </c>
      <c r="M38" s="8" t="str">
        <f t="shared" si="18"/>
        <v>냉동간편식</v>
      </c>
      <c r="N38" s="7">
        <f t="shared" si="19"/>
        <v>2.12101929273995</v>
      </c>
      <c r="O38" s="7">
        <v>6.2388000000000003</v>
      </c>
      <c r="P38" s="7">
        <v>9.2710000000000008</v>
      </c>
      <c r="Q38" s="8" t="str">
        <f t="shared" si="20"/>
        <v>냉동간편식</v>
      </c>
      <c r="R38" s="7">
        <f t="shared" si="21"/>
        <v>0.32654461886658287</v>
      </c>
      <c r="S38" s="7">
        <f t="shared" si="22"/>
        <v>0.79510106348120424</v>
      </c>
      <c r="T38" s="7">
        <f t="shared" si="23"/>
        <v>0.96712658107641281</v>
      </c>
      <c r="U38" s="7">
        <f t="shared" si="24"/>
        <v>1.5587085705331658</v>
      </c>
    </row>
    <row r="39" spans="1:21" x14ac:dyDescent="0.6">
      <c r="A39" s="8" t="s">
        <v>57</v>
      </c>
      <c r="B39" s="7">
        <v>2.0645588822706999</v>
      </c>
      <c r="C39" s="8" t="str">
        <f>IF(B39&gt;$F$14,"★","")</f>
        <v/>
      </c>
      <c r="D39" s="7">
        <f t="shared" si="13"/>
        <v>0.31482727368714464</v>
      </c>
      <c r="E39" s="9"/>
      <c r="F39" s="8" t="str">
        <f t="shared" si="12"/>
        <v>떡</v>
      </c>
      <c r="G39" s="7">
        <f t="shared" si="14"/>
        <v>0.31482727368714464</v>
      </c>
      <c r="H39" s="7">
        <v>6.2388000000000003</v>
      </c>
      <c r="I39" s="7">
        <v>9.2710000000000008</v>
      </c>
      <c r="J39" s="7">
        <f t="shared" si="15"/>
        <v>0.79510106348120424</v>
      </c>
      <c r="K39" s="7">
        <f t="shared" si="16"/>
        <v>0.96712658107641281</v>
      </c>
      <c r="L39" s="7">
        <f t="shared" si="17"/>
        <v>1.5587085705331658</v>
      </c>
      <c r="M39" s="8" t="str">
        <f t="shared" si="18"/>
        <v>떡</v>
      </c>
      <c r="N39" s="7">
        <f t="shared" si="19"/>
        <v>2.0645588822706999</v>
      </c>
      <c r="O39" s="7">
        <v>6.2388000000000003</v>
      </c>
      <c r="P39" s="7">
        <v>9.2710000000000008</v>
      </c>
      <c r="Q39" s="8" t="str">
        <f t="shared" si="20"/>
        <v>떡</v>
      </c>
      <c r="R39" s="7">
        <f t="shared" si="21"/>
        <v>0.31482727368714464</v>
      </c>
      <c r="S39" s="7">
        <f t="shared" si="22"/>
        <v>0.79510106348120424</v>
      </c>
      <c r="T39" s="7">
        <f t="shared" si="23"/>
        <v>0.96712658107641281</v>
      </c>
      <c r="U39" s="7">
        <f t="shared" si="24"/>
        <v>1.5587085705331658</v>
      </c>
    </row>
    <row r="40" spans="1:21" x14ac:dyDescent="0.6">
      <c r="A40" s="8" t="s">
        <v>56</v>
      </c>
      <c r="B40" s="7">
        <v>2.0470334548173099</v>
      </c>
      <c r="C40" s="8" t="str">
        <f>IF(B40&gt;$F$14,"★","")</f>
        <v/>
      </c>
      <c r="D40" s="7">
        <f t="shared" si="13"/>
        <v>0.3111249404269531</v>
      </c>
      <c r="E40" s="9"/>
      <c r="F40" s="8" t="str">
        <f t="shared" si="12"/>
        <v>숙취해소제</v>
      </c>
      <c r="G40" s="7">
        <f t="shared" si="14"/>
        <v>0.3111249404269531</v>
      </c>
      <c r="H40" s="7">
        <v>6.2388000000000003</v>
      </c>
      <c r="I40" s="7">
        <v>9.2710000000000008</v>
      </c>
      <c r="J40" s="7">
        <f t="shared" si="15"/>
        <v>0.79510106348120424</v>
      </c>
      <c r="K40" s="7">
        <f t="shared" si="16"/>
        <v>0.96712658107641281</v>
      </c>
      <c r="L40" s="7">
        <f t="shared" si="17"/>
        <v>1.5587085705331658</v>
      </c>
      <c r="M40" s="8" t="str">
        <f t="shared" si="18"/>
        <v>숙취해소제</v>
      </c>
      <c r="N40" s="7">
        <f t="shared" si="19"/>
        <v>2.0470334548173099</v>
      </c>
      <c r="O40" s="7">
        <v>6.2388000000000003</v>
      </c>
      <c r="P40" s="7">
        <v>9.2710000000000008</v>
      </c>
      <c r="Q40" s="8" t="str">
        <f t="shared" si="20"/>
        <v>숙취해소제</v>
      </c>
      <c r="R40" s="7">
        <f t="shared" si="21"/>
        <v>0.3111249404269531</v>
      </c>
      <c r="S40" s="7">
        <f t="shared" si="22"/>
        <v>0.79510106348120424</v>
      </c>
      <c r="T40" s="7">
        <f t="shared" si="23"/>
        <v>0.96712658107641281</v>
      </c>
      <c r="U40" s="7">
        <f t="shared" si="24"/>
        <v>1.5587085705331658</v>
      </c>
    </row>
    <row r="41" spans="1:21" x14ac:dyDescent="0.6">
      <c r="A41" s="8" t="s">
        <v>55</v>
      </c>
      <c r="B41" s="7">
        <v>2.0165464482809998</v>
      </c>
      <c r="C41" s="8" t="str">
        <f>IF(B41&gt;$F$14,"★","")</f>
        <v/>
      </c>
      <c r="D41" s="7">
        <f t="shared" si="13"/>
        <v>0.30460822981490498</v>
      </c>
      <c r="E41" s="9"/>
      <c r="F41" s="8" t="str">
        <f t="shared" si="12"/>
        <v>젤리류</v>
      </c>
      <c r="G41" s="7">
        <f t="shared" si="14"/>
        <v>0.30460822981490498</v>
      </c>
      <c r="H41" s="7">
        <v>6.2388000000000003</v>
      </c>
      <c r="I41" s="7">
        <v>9.2710000000000008</v>
      </c>
      <c r="J41" s="7">
        <f t="shared" si="15"/>
        <v>0.79510106348120424</v>
      </c>
      <c r="K41" s="7">
        <f t="shared" si="16"/>
        <v>0.96712658107641281</v>
      </c>
      <c r="L41" s="7">
        <f t="shared" si="17"/>
        <v>1.5587085705331658</v>
      </c>
      <c r="M41" s="8" t="str">
        <f t="shared" si="18"/>
        <v>젤리류</v>
      </c>
      <c r="N41" s="7">
        <f t="shared" si="19"/>
        <v>2.0165464482809998</v>
      </c>
      <c r="O41" s="7">
        <v>6.2388000000000003</v>
      </c>
      <c r="P41" s="7">
        <v>9.2710000000000008</v>
      </c>
      <c r="Q41" s="8" t="str">
        <f t="shared" si="20"/>
        <v>젤리류</v>
      </c>
      <c r="R41" s="7">
        <f t="shared" si="21"/>
        <v>0.30460822981490498</v>
      </c>
      <c r="S41" s="7">
        <f t="shared" si="22"/>
        <v>0.79510106348120424</v>
      </c>
      <c r="T41" s="7">
        <f t="shared" si="23"/>
        <v>0.96712658107641281</v>
      </c>
      <c r="U41" s="7">
        <f t="shared" si="24"/>
        <v>1.5587085705331658</v>
      </c>
    </row>
    <row r="42" spans="1:21" x14ac:dyDescent="0.6">
      <c r="A42" s="8" t="s">
        <v>54</v>
      </c>
      <c r="B42" s="7">
        <v>1.9835080552895401</v>
      </c>
      <c r="C42" s="8" t="str">
        <f>IF(B42&gt;$F$14,"★","")</f>
        <v/>
      </c>
      <c r="D42" s="7">
        <f t="shared" si="13"/>
        <v>0.297433968541298</v>
      </c>
      <c r="E42" s="9"/>
      <c r="F42" s="8" t="str">
        <f t="shared" si="12"/>
        <v>파우치</v>
      </c>
      <c r="G42" s="7">
        <f t="shared" si="14"/>
        <v>0.297433968541298</v>
      </c>
      <c r="H42" s="7">
        <v>6.2388000000000003</v>
      </c>
      <c r="I42" s="7">
        <v>9.2710000000000008</v>
      </c>
      <c r="J42" s="7">
        <f t="shared" si="15"/>
        <v>0.79510106348120424</v>
      </c>
      <c r="K42" s="7">
        <f t="shared" si="16"/>
        <v>0.96712658107641281</v>
      </c>
      <c r="L42" s="7">
        <f t="shared" si="17"/>
        <v>1.5587085705331658</v>
      </c>
      <c r="M42" s="8" t="str">
        <f t="shared" si="18"/>
        <v>파우치</v>
      </c>
      <c r="N42" s="7">
        <f t="shared" si="19"/>
        <v>1.9835080552895401</v>
      </c>
      <c r="O42" s="7">
        <v>6.2388000000000003</v>
      </c>
      <c r="P42" s="7">
        <v>9.2710000000000008</v>
      </c>
      <c r="Q42" s="8" t="str">
        <f t="shared" si="20"/>
        <v>파우치</v>
      </c>
      <c r="R42" s="7">
        <f t="shared" si="21"/>
        <v>0.297433968541298</v>
      </c>
      <c r="S42" s="7">
        <f t="shared" si="22"/>
        <v>0.79510106348120424</v>
      </c>
      <c r="T42" s="7">
        <f t="shared" si="23"/>
        <v>0.96712658107641281</v>
      </c>
      <c r="U42" s="7">
        <f t="shared" si="24"/>
        <v>1.5587085705331658</v>
      </c>
    </row>
    <row r="43" spans="1:21" x14ac:dyDescent="0.6">
      <c r="A43" s="8" t="s">
        <v>53</v>
      </c>
      <c r="B43" s="7">
        <v>1.8940466180754401</v>
      </c>
      <c r="C43" s="8" t="str">
        <f>IF(B43&gt;$F$14,"★","")</f>
        <v/>
      </c>
      <c r="D43" s="7">
        <f t="shared" si="13"/>
        <v>0.27739066406734014</v>
      </c>
      <c r="E43" s="9"/>
      <c r="F43" s="8" t="str">
        <f t="shared" si="12"/>
        <v>탄산음료</v>
      </c>
      <c r="G43" s="7">
        <f t="shared" si="14"/>
        <v>0.27739066406734014</v>
      </c>
      <c r="H43" s="7">
        <v>6.2388000000000003</v>
      </c>
      <c r="I43" s="7">
        <v>9.2710000000000008</v>
      </c>
      <c r="J43" s="7">
        <f t="shared" si="15"/>
        <v>0.79510106348120424</v>
      </c>
      <c r="K43" s="7">
        <f t="shared" si="16"/>
        <v>0.96712658107641281</v>
      </c>
      <c r="L43" s="7">
        <f t="shared" si="17"/>
        <v>1.5587085705331658</v>
      </c>
      <c r="M43" s="8" t="str">
        <f t="shared" si="18"/>
        <v>탄산음료</v>
      </c>
      <c r="N43" s="7">
        <f t="shared" si="19"/>
        <v>1.8940466180754401</v>
      </c>
      <c r="O43" s="7">
        <v>6.2388000000000003</v>
      </c>
      <c r="P43" s="7">
        <v>9.2710000000000008</v>
      </c>
      <c r="Q43" s="8" t="str">
        <f t="shared" si="20"/>
        <v>탄산음료</v>
      </c>
      <c r="R43" s="7">
        <f t="shared" si="21"/>
        <v>0.27739066406734014</v>
      </c>
      <c r="S43" s="7">
        <f t="shared" si="22"/>
        <v>0.79510106348120424</v>
      </c>
      <c r="T43" s="7">
        <f t="shared" si="23"/>
        <v>0.96712658107641281</v>
      </c>
      <c r="U43" s="7">
        <f t="shared" si="24"/>
        <v>1.5587085705331658</v>
      </c>
    </row>
    <row r="44" spans="1:21" x14ac:dyDescent="0.6">
      <c r="A44" s="8" t="s">
        <v>52</v>
      </c>
      <c r="B44" s="7">
        <v>1.8913374867444299</v>
      </c>
      <c r="C44" s="8" t="str">
        <f>IF(B44&gt;$F$14,"★","")</f>
        <v/>
      </c>
      <c r="D44" s="7">
        <f t="shared" si="13"/>
        <v>0.27676903045970208</v>
      </c>
      <c r="E44" s="9"/>
      <c r="F44" s="8" t="str">
        <f t="shared" si="12"/>
        <v>과일</v>
      </c>
      <c r="G44" s="7">
        <f t="shared" si="14"/>
        <v>0.27676903045970208</v>
      </c>
      <c r="H44" s="7">
        <v>6.2388000000000003</v>
      </c>
      <c r="I44" s="7">
        <v>9.2710000000000008</v>
      </c>
      <c r="J44" s="7">
        <f t="shared" si="15"/>
        <v>0.79510106348120424</v>
      </c>
      <c r="K44" s="7">
        <f t="shared" si="16"/>
        <v>0.96712658107641281</v>
      </c>
      <c r="L44" s="7">
        <f t="shared" si="17"/>
        <v>1.5587085705331658</v>
      </c>
      <c r="M44" s="8" t="str">
        <f t="shared" si="18"/>
        <v>과일</v>
      </c>
      <c r="N44" s="7">
        <f t="shared" si="19"/>
        <v>1.8913374867444299</v>
      </c>
      <c r="O44" s="7">
        <v>6.2388000000000003</v>
      </c>
      <c r="P44" s="7">
        <v>9.2710000000000008</v>
      </c>
      <c r="Q44" s="8" t="str">
        <f t="shared" si="20"/>
        <v>과일</v>
      </c>
      <c r="R44" s="7">
        <f t="shared" si="21"/>
        <v>0.27676903045970208</v>
      </c>
      <c r="S44" s="7">
        <f t="shared" si="22"/>
        <v>0.79510106348120424</v>
      </c>
      <c r="T44" s="7">
        <f t="shared" si="23"/>
        <v>0.96712658107641281</v>
      </c>
      <c r="U44" s="7">
        <f t="shared" si="24"/>
        <v>1.5587085705331658</v>
      </c>
    </row>
    <row r="45" spans="1:21" x14ac:dyDescent="0.6">
      <c r="A45" s="8" t="s">
        <v>51</v>
      </c>
      <c r="B45" s="7">
        <v>1.7263828858799299</v>
      </c>
      <c r="C45" s="8" t="str">
        <f>IF(B45&gt;$F$14,"★","")</f>
        <v/>
      </c>
      <c r="D45" s="7">
        <f t="shared" si="13"/>
        <v>0.23713712207658483</v>
      </c>
      <c r="E45" s="9"/>
      <c r="F45" s="8" t="str">
        <f t="shared" si="12"/>
        <v>샌드위치</v>
      </c>
      <c r="G45" s="7">
        <f t="shared" si="14"/>
        <v>0.23713712207658483</v>
      </c>
      <c r="H45" s="7">
        <v>6.2388000000000003</v>
      </c>
      <c r="I45" s="7">
        <v>9.2710000000000008</v>
      </c>
      <c r="J45" s="7">
        <f t="shared" si="15"/>
        <v>0.79510106348120424</v>
      </c>
      <c r="K45" s="7">
        <f t="shared" si="16"/>
        <v>0.96712658107641281</v>
      </c>
      <c r="L45" s="7">
        <f t="shared" si="17"/>
        <v>1.5587085705331658</v>
      </c>
      <c r="M45" s="8" t="str">
        <f t="shared" si="18"/>
        <v>샌드위치</v>
      </c>
      <c r="N45" s="7">
        <f t="shared" si="19"/>
        <v>1.7263828858799299</v>
      </c>
      <c r="O45" s="7">
        <v>6.2388000000000003</v>
      </c>
      <c r="P45" s="7">
        <v>9.2710000000000008</v>
      </c>
      <c r="Q45" s="8" t="str">
        <f t="shared" si="20"/>
        <v>샌드위치</v>
      </c>
      <c r="R45" s="7">
        <f t="shared" si="21"/>
        <v>0.23713712207658483</v>
      </c>
      <c r="S45" s="7">
        <f t="shared" si="22"/>
        <v>0.79510106348120424</v>
      </c>
      <c r="T45" s="7">
        <f t="shared" si="23"/>
        <v>0.96712658107641281</v>
      </c>
      <c r="U45" s="7">
        <f t="shared" si="24"/>
        <v>1.5587085705331658</v>
      </c>
    </row>
    <row r="46" spans="1:21" x14ac:dyDescent="0.6">
      <c r="A46" s="8" t="s">
        <v>50</v>
      </c>
      <c r="B46" s="7">
        <v>1.7098013221153801</v>
      </c>
      <c r="C46" s="8" t="str">
        <f>IF(B46&gt;$F$14,"★","")</f>
        <v/>
      </c>
      <c r="D46" s="7">
        <f t="shared" si="13"/>
        <v>0.23294564856648828</v>
      </c>
      <c r="E46" s="9"/>
      <c r="F46" s="8" t="str">
        <f t="shared" si="12"/>
        <v>선물세트</v>
      </c>
      <c r="G46" s="7">
        <f t="shared" si="14"/>
        <v>0.23294564856648828</v>
      </c>
      <c r="H46" s="7">
        <v>6.2388000000000003</v>
      </c>
      <c r="I46" s="7">
        <v>9.2710000000000008</v>
      </c>
      <c r="J46" s="7">
        <f t="shared" si="15"/>
        <v>0.79510106348120424</v>
      </c>
      <c r="K46" s="7">
        <f t="shared" si="16"/>
        <v>0.96712658107641281</v>
      </c>
      <c r="L46" s="7">
        <f t="shared" si="17"/>
        <v>1.5587085705331658</v>
      </c>
      <c r="M46" s="8" t="str">
        <f t="shared" si="18"/>
        <v>선물세트</v>
      </c>
      <c r="N46" s="7">
        <f t="shared" si="19"/>
        <v>1.7098013221153801</v>
      </c>
      <c r="O46" s="7">
        <v>6.2388000000000003</v>
      </c>
      <c r="P46" s="7">
        <v>9.2710000000000008</v>
      </c>
      <c r="Q46" s="8" t="str">
        <f t="shared" si="20"/>
        <v>선물세트</v>
      </c>
      <c r="R46" s="7">
        <f t="shared" si="21"/>
        <v>0.23294564856648828</v>
      </c>
      <c r="S46" s="7">
        <f t="shared" si="22"/>
        <v>0.79510106348120424</v>
      </c>
      <c r="T46" s="7">
        <f t="shared" si="23"/>
        <v>0.96712658107641281</v>
      </c>
      <c r="U46" s="7">
        <f t="shared" si="24"/>
        <v>1.5587085705331658</v>
      </c>
    </row>
    <row r="47" spans="1:21" x14ac:dyDescent="0.6">
      <c r="A47" s="8" t="s">
        <v>49</v>
      </c>
      <c r="B47" s="7">
        <v>1.7080111033707399</v>
      </c>
      <c r="C47" s="8" t="str">
        <f>IF(B47&gt;$F$14,"★","")</f>
        <v/>
      </c>
      <c r="D47" s="7">
        <f t="shared" si="13"/>
        <v>0.23249068960648103</v>
      </c>
      <c r="E47" s="9"/>
      <c r="F47" s="8" t="str">
        <f t="shared" si="12"/>
        <v>스낵류</v>
      </c>
      <c r="G47" s="7">
        <f t="shared" si="14"/>
        <v>0.23249068960648103</v>
      </c>
      <c r="H47" s="7">
        <v>6.2388000000000003</v>
      </c>
      <c r="I47" s="7">
        <v>9.2710000000000008</v>
      </c>
      <c r="J47" s="7">
        <f t="shared" si="15"/>
        <v>0.79510106348120424</v>
      </c>
      <c r="K47" s="7">
        <f t="shared" si="16"/>
        <v>0.96712658107641281</v>
      </c>
      <c r="L47" s="7">
        <f t="shared" si="17"/>
        <v>1.5587085705331658</v>
      </c>
      <c r="M47" s="8" t="str">
        <f t="shared" si="18"/>
        <v>스낵류</v>
      </c>
      <c r="N47" s="7">
        <f t="shared" si="19"/>
        <v>1.7080111033707399</v>
      </c>
      <c r="O47" s="7">
        <v>6.2388000000000003</v>
      </c>
      <c r="P47" s="7">
        <v>9.2710000000000008</v>
      </c>
      <c r="Q47" s="8" t="str">
        <f t="shared" si="20"/>
        <v>스낵류</v>
      </c>
      <c r="R47" s="7">
        <f t="shared" si="21"/>
        <v>0.23249068960648103</v>
      </c>
      <c r="S47" s="7">
        <f t="shared" si="22"/>
        <v>0.79510106348120424</v>
      </c>
      <c r="T47" s="7">
        <f t="shared" si="23"/>
        <v>0.96712658107641281</v>
      </c>
      <c r="U47" s="7">
        <f t="shared" si="24"/>
        <v>1.5587085705331658</v>
      </c>
    </row>
    <row r="48" spans="1:21" x14ac:dyDescent="0.6">
      <c r="A48" s="8" t="s">
        <v>48</v>
      </c>
      <c r="B48" s="7">
        <v>1.65860683829879</v>
      </c>
      <c r="C48" s="8" t="str">
        <f>IF(B48&gt;$F$14,"★","")</f>
        <v/>
      </c>
      <c r="D48" s="7">
        <f t="shared" si="13"/>
        <v>0.21974345161021649</v>
      </c>
      <c r="E48" s="9"/>
      <c r="F48" s="8" t="str">
        <f t="shared" si="12"/>
        <v>리쿼</v>
      </c>
      <c r="G48" s="7">
        <f t="shared" si="14"/>
        <v>0.21974345161021649</v>
      </c>
      <c r="H48" s="7">
        <v>6.2388000000000003</v>
      </c>
      <c r="I48" s="7">
        <v>9.2710000000000008</v>
      </c>
      <c r="J48" s="7">
        <f t="shared" si="15"/>
        <v>0.79510106348120424</v>
      </c>
      <c r="K48" s="7">
        <f t="shared" si="16"/>
        <v>0.96712658107641281</v>
      </c>
      <c r="L48" s="7">
        <f t="shared" si="17"/>
        <v>1.5587085705331658</v>
      </c>
      <c r="M48" s="8" t="str">
        <f t="shared" si="18"/>
        <v>리쿼</v>
      </c>
      <c r="N48" s="7">
        <f t="shared" si="19"/>
        <v>1.65860683829879</v>
      </c>
      <c r="O48" s="7">
        <v>6.2388000000000003</v>
      </c>
      <c r="P48" s="7">
        <v>9.2710000000000008</v>
      </c>
      <c r="Q48" s="8" t="str">
        <f t="shared" si="20"/>
        <v>리쿼</v>
      </c>
      <c r="R48" s="7">
        <f t="shared" si="21"/>
        <v>0.21974345161021649</v>
      </c>
      <c r="S48" s="7">
        <f t="shared" si="22"/>
        <v>0.79510106348120424</v>
      </c>
      <c r="T48" s="7">
        <f t="shared" si="23"/>
        <v>0.96712658107641281</v>
      </c>
      <c r="U48" s="7">
        <f t="shared" si="24"/>
        <v>1.5587085705331658</v>
      </c>
    </row>
    <row r="49" spans="1:21" x14ac:dyDescent="0.6">
      <c r="A49" s="8" t="s">
        <v>47</v>
      </c>
      <c r="B49" s="7">
        <v>1.6578231624681099</v>
      </c>
      <c r="C49" s="8" t="str">
        <f>IF(B49&gt;$F$14,"★","")</f>
        <v/>
      </c>
      <c r="D49" s="7">
        <f t="shared" si="13"/>
        <v>0.21953820313814179</v>
      </c>
      <c r="E49" s="9"/>
      <c r="F49" s="8" t="str">
        <f t="shared" si="12"/>
        <v>장류</v>
      </c>
      <c r="G49" s="7">
        <f t="shared" si="14"/>
        <v>0.21953820313814179</v>
      </c>
      <c r="H49" s="7">
        <v>6.2388000000000003</v>
      </c>
      <c r="I49" s="7">
        <v>9.2710000000000008</v>
      </c>
      <c r="J49" s="7">
        <f t="shared" si="15"/>
        <v>0.79510106348120424</v>
      </c>
      <c r="K49" s="7">
        <f t="shared" si="16"/>
        <v>0.96712658107641281</v>
      </c>
      <c r="L49" s="7">
        <f t="shared" si="17"/>
        <v>1.5587085705331658</v>
      </c>
      <c r="M49" s="8" t="str">
        <f t="shared" si="18"/>
        <v>장류</v>
      </c>
      <c r="N49" s="7">
        <f t="shared" si="19"/>
        <v>1.6578231624681099</v>
      </c>
      <c r="O49" s="7">
        <v>6.2388000000000003</v>
      </c>
      <c r="P49" s="7">
        <v>9.2710000000000008</v>
      </c>
      <c r="Q49" s="8" t="str">
        <f t="shared" si="20"/>
        <v>장류</v>
      </c>
      <c r="R49" s="7">
        <f t="shared" si="21"/>
        <v>0.21953820313814179</v>
      </c>
      <c r="S49" s="7">
        <f t="shared" si="22"/>
        <v>0.79510106348120424</v>
      </c>
      <c r="T49" s="7">
        <f t="shared" si="23"/>
        <v>0.96712658107641281</v>
      </c>
      <c r="U49" s="7">
        <f t="shared" si="24"/>
        <v>1.5587085705331658</v>
      </c>
    </row>
    <row r="50" spans="1:21" x14ac:dyDescent="0.6">
      <c r="A50" s="8" t="s">
        <v>46</v>
      </c>
      <c r="B50" s="7">
        <v>1.5791555212620001</v>
      </c>
      <c r="C50" s="8" t="str">
        <f>IF(B50&gt;$F$14,"★","")</f>
        <v/>
      </c>
      <c r="D50" s="7">
        <f t="shared" si="13"/>
        <v>0.19842490309246008</v>
      </c>
      <c r="E50" s="9"/>
      <c r="F50" s="8" t="str">
        <f t="shared" si="12"/>
        <v>즉석조리</v>
      </c>
      <c r="G50" s="7">
        <f t="shared" si="14"/>
        <v>0.19842490309246008</v>
      </c>
      <c r="H50" s="7">
        <v>6.2388000000000003</v>
      </c>
      <c r="I50" s="7">
        <v>9.2710000000000008</v>
      </c>
      <c r="J50" s="7">
        <f t="shared" si="15"/>
        <v>0.79510106348120424</v>
      </c>
      <c r="K50" s="7">
        <f t="shared" si="16"/>
        <v>0.96712658107641281</v>
      </c>
      <c r="L50" s="7">
        <f t="shared" si="17"/>
        <v>1.5587085705331658</v>
      </c>
      <c r="M50" s="8" t="str">
        <f t="shared" si="18"/>
        <v>즉석조리</v>
      </c>
      <c r="N50" s="7">
        <f t="shared" si="19"/>
        <v>1.5791555212620001</v>
      </c>
      <c r="O50" s="7">
        <v>6.2388000000000003</v>
      </c>
      <c r="P50" s="7">
        <v>9.2710000000000008</v>
      </c>
      <c r="Q50" s="8" t="str">
        <f t="shared" si="20"/>
        <v>즉석조리</v>
      </c>
      <c r="R50" s="7">
        <f t="shared" si="21"/>
        <v>0.19842490309246008</v>
      </c>
      <c r="S50" s="7">
        <f t="shared" si="22"/>
        <v>0.79510106348120424</v>
      </c>
      <c r="T50" s="7">
        <f t="shared" si="23"/>
        <v>0.96712658107641281</v>
      </c>
      <c r="U50" s="7">
        <f t="shared" si="24"/>
        <v>1.5587085705331658</v>
      </c>
    </row>
    <row r="51" spans="1:21" x14ac:dyDescent="0.6">
      <c r="A51" s="8" t="s">
        <v>45</v>
      </c>
      <c r="B51" s="7">
        <v>1.56675279183847</v>
      </c>
      <c r="C51" s="8" t="str">
        <f>IF(B51&gt;$F$14,"★","")</f>
        <v/>
      </c>
      <c r="D51" s="7">
        <f t="shared" si="13"/>
        <v>0.19500047725358619</v>
      </c>
      <c r="E51" s="9"/>
      <c r="F51" s="8" t="str">
        <f t="shared" si="12"/>
        <v>용기면</v>
      </c>
      <c r="G51" s="7">
        <f t="shared" si="14"/>
        <v>0.19500047725358619</v>
      </c>
      <c r="H51" s="7">
        <v>6.2388000000000003</v>
      </c>
      <c r="I51" s="7">
        <v>9.2710000000000008</v>
      </c>
      <c r="J51" s="7">
        <f t="shared" si="15"/>
        <v>0.79510106348120424</v>
      </c>
      <c r="K51" s="7">
        <f t="shared" si="16"/>
        <v>0.96712658107641281</v>
      </c>
      <c r="L51" s="7">
        <f t="shared" si="17"/>
        <v>1.5587085705331658</v>
      </c>
      <c r="M51" s="8" t="str">
        <f t="shared" si="18"/>
        <v>용기면</v>
      </c>
      <c r="N51" s="7">
        <f t="shared" si="19"/>
        <v>1.56675279183847</v>
      </c>
      <c r="O51" s="7">
        <v>6.2388000000000003</v>
      </c>
      <c r="P51" s="7">
        <v>9.2710000000000008</v>
      </c>
      <c r="Q51" s="8" t="str">
        <f t="shared" si="20"/>
        <v>용기면</v>
      </c>
      <c r="R51" s="7">
        <f t="shared" si="21"/>
        <v>0.19500047725358619</v>
      </c>
      <c r="S51" s="7">
        <f t="shared" si="22"/>
        <v>0.79510106348120424</v>
      </c>
      <c r="T51" s="7">
        <f t="shared" si="23"/>
        <v>0.96712658107641281</v>
      </c>
      <c r="U51" s="7">
        <f t="shared" si="24"/>
        <v>1.5587085705331658</v>
      </c>
    </row>
    <row r="52" spans="1:21" x14ac:dyDescent="0.6">
      <c r="A52" s="8" t="s">
        <v>44</v>
      </c>
      <c r="B52" s="7">
        <v>1.50299893021992</v>
      </c>
      <c r="C52" s="8" t="str">
        <f>IF(B52&gt;$F$14,"★","")</f>
        <v/>
      </c>
      <c r="D52" s="7">
        <f t="shared" si="13"/>
        <v>0.17695867147197075</v>
      </c>
      <c r="E52" s="9"/>
      <c r="F52" s="8" t="str">
        <f t="shared" si="12"/>
        <v>껌</v>
      </c>
      <c r="G52" s="7">
        <f t="shared" si="14"/>
        <v>0.17695867147197075</v>
      </c>
      <c r="H52" s="7">
        <v>6.2388000000000003</v>
      </c>
      <c r="I52" s="7">
        <v>9.2710000000000008</v>
      </c>
      <c r="J52" s="7">
        <f t="shared" si="15"/>
        <v>0.79510106348120424</v>
      </c>
      <c r="K52" s="7">
        <f t="shared" si="16"/>
        <v>0.96712658107641281</v>
      </c>
      <c r="L52" s="7">
        <f t="shared" si="17"/>
        <v>1.5587085705331658</v>
      </c>
      <c r="M52" s="8" t="str">
        <f t="shared" si="18"/>
        <v>껌</v>
      </c>
      <c r="N52" s="7">
        <f t="shared" si="19"/>
        <v>1.50299893021992</v>
      </c>
      <c r="O52" s="7">
        <v>6.2388000000000003</v>
      </c>
      <c r="P52" s="7">
        <v>9.2710000000000008</v>
      </c>
      <c r="Q52" s="8" t="str">
        <f t="shared" si="20"/>
        <v>껌</v>
      </c>
      <c r="R52" s="7">
        <f t="shared" si="21"/>
        <v>0.17695867147197075</v>
      </c>
      <c r="S52" s="7">
        <f t="shared" si="22"/>
        <v>0.79510106348120424</v>
      </c>
      <c r="T52" s="7">
        <f t="shared" si="23"/>
        <v>0.96712658107641281</v>
      </c>
      <c r="U52" s="7">
        <f t="shared" si="24"/>
        <v>1.5587085705331658</v>
      </c>
    </row>
    <row r="53" spans="1:21" x14ac:dyDescent="0.6">
      <c r="A53" s="8" t="s">
        <v>43</v>
      </c>
      <c r="B53" s="7">
        <v>1.50058859634847</v>
      </c>
      <c r="C53" s="8" t="str">
        <f>IF(B53&gt;$F$14,"★","")</f>
        <v/>
      </c>
      <c r="D53" s="7">
        <f t="shared" si="13"/>
        <v>0.17626164172646702</v>
      </c>
      <c r="E53" s="9"/>
      <c r="F53" s="8" t="str">
        <f t="shared" ref="F53:F84" si="25">A53</f>
        <v>간식빵</v>
      </c>
      <c r="G53" s="7">
        <f t="shared" si="14"/>
        <v>0.17626164172646702</v>
      </c>
      <c r="H53" s="7">
        <v>6.2388000000000003</v>
      </c>
      <c r="I53" s="7">
        <v>9.2710000000000008</v>
      </c>
      <c r="J53" s="7">
        <f t="shared" si="15"/>
        <v>0.79510106348120424</v>
      </c>
      <c r="K53" s="7">
        <f t="shared" si="16"/>
        <v>0.96712658107641281</v>
      </c>
      <c r="L53" s="7">
        <f t="shared" si="17"/>
        <v>1.5587085705331658</v>
      </c>
      <c r="M53" s="8" t="str">
        <f t="shared" si="18"/>
        <v>간식빵</v>
      </c>
      <c r="N53" s="7">
        <f t="shared" si="19"/>
        <v>1.50058859634847</v>
      </c>
      <c r="O53" s="7">
        <v>6.2388000000000003</v>
      </c>
      <c r="P53" s="7">
        <v>9.2710000000000008</v>
      </c>
      <c r="Q53" s="8" t="str">
        <f t="shared" si="20"/>
        <v>간식빵</v>
      </c>
      <c r="R53" s="7">
        <f t="shared" si="21"/>
        <v>0.17626164172646702</v>
      </c>
      <c r="S53" s="7">
        <f t="shared" si="22"/>
        <v>0.79510106348120424</v>
      </c>
      <c r="T53" s="7">
        <f t="shared" si="23"/>
        <v>0.96712658107641281</v>
      </c>
      <c r="U53" s="7">
        <f t="shared" si="24"/>
        <v>1.5587085705331658</v>
      </c>
    </row>
    <row r="54" spans="1:21" x14ac:dyDescent="0.6">
      <c r="A54" s="8" t="s">
        <v>42</v>
      </c>
      <c r="B54" s="7">
        <v>1.4546876462718701</v>
      </c>
      <c r="C54" s="8" t="str">
        <f>IF(B54&gt;$F$14,"★","")</f>
        <v/>
      </c>
      <c r="D54" s="7">
        <f t="shared" si="13"/>
        <v>0.16276975066667157</v>
      </c>
      <c r="E54" s="9"/>
      <c r="F54" s="8" t="str">
        <f t="shared" si="25"/>
        <v>프로틴 음료</v>
      </c>
      <c r="G54" s="7">
        <f t="shared" si="14"/>
        <v>0.16276975066667157</v>
      </c>
      <c r="H54" s="7">
        <v>6.2388000000000003</v>
      </c>
      <c r="I54" s="7">
        <v>9.2710000000000008</v>
      </c>
      <c r="J54" s="7">
        <f t="shared" si="15"/>
        <v>0.79510106348120424</v>
      </c>
      <c r="K54" s="7">
        <f t="shared" si="16"/>
        <v>0.96712658107641281</v>
      </c>
      <c r="L54" s="7">
        <f t="shared" si="17"/>
        <v>1.5587085705331658</v>
      </c>
      <c r="M54" s="8" t="str">
        <f t="shared" si="18"/>
        <v>프로틴 음료</v>
      </c>
      <c r="N54" s="7">
        <f t="shared" si="19"/>
        <v>1.4546876462718701</v>
      </c>
      <c r="O54" s="7">
        <v>6.2388000000000003</v>
      </c>
      <c r="P54" s="7">
        <v>9.2710000000000008</v>
      </c>
      <c r="Q54" s="8" t="str">
        <f t="shared" si="20"/>
        <v>프로틴 음료</v>
      </c>
      <c r="R54" s="7">
        <f t="shared" si="21"/>
        <v>0.16276975066667157</v>
      </c>
      <c r="S54" s="7">
        <f t="shared" si="22"/>
        <v>0.79510106348120424</v>
      </c>
      <c r="T54" s="7">
        <f t="shared" si="23"/>
        <v>0.96712658107641281</v>
      </c>
      <c r="U54" s="7">
        <f t="shared" si="24"/>
        <v>1.5587085705331658</v>
      </c>
    </row>
    <row r="55" spans="1:21" x14ac:dyDescent="0.6">
      <c r="A55" s="8" t="s">
        <v>41</v>
      </c>
      <c r="B55" s="7">
        <v>1.4210252808988799</v>
      </c>
      <c r="C55" s="8" t="str">
        <f>IF(B55&gt;$F$14,"★","")</f>
        <v/>
      </c>
      <c r="D55" s="7">
        <f t="shared" si="13"/>
        <v>0.15260180435760054</v>
      </c>
      <c r="E55" s="9"/>
      <c r="F55" s="8" t="str">
        <f t="shared" si="25"/>
        <v xml:space="preserve">선물세트 </v>
      </c>
      <c r="G55" s="7">
        <f t="shared" si="14"/>
        <v>0.15260180435760054</v>
      </c>
      <c r="H55" s="7">
        <v>6.2388000000000003</v>
      </c>
      <c r="I55" s="7">
        <v>9.2710000000000008</v>
      </c>
      <c r="J55" s="7">
        <f t="shared" si="15"/>
        <v>0.79510106348120424</v>
      </c>
      <c r="K55" s="7">
        <f t="shared" si="16"/>
        <v>0.96712658107641281</v>
      </c>
      <c r="L55" s="7">
        <f t="shared" si="17"/>
        <v>1.5587085705331658</v>
      </c>
      <c r="M55" s="8" t="str">
        <f t="shared" si="18"/>
        <v xml:space="preserve">선물세트 </v>
      </c>
      <c r="N55" s="7">
        <f t="shared" si="19"/>
        <v>1.4210252808988799</v>
      </c>
      <c r="O55" s="7">
        <v>6.2388000000000003</v>
      </c>
      <c r="P55" s="7">
        <v>9.2710000000000008</v>
      </c>
      <c r="Q55" s="8" t="str">
        <f t="shared" si="20"/>
        <v xml:space="preserve">선물세트 </v>
      </c>
      <c r="R55" s="7">
        <f t="shared" si="21"/>
        <v>0.15260180435760054</v>
      </c>
      <c r="S55" s="7">
        <f t="shared" si="22"/>
        <v>0.79510106348120424</v>
      </c>
      <c r="T55" s="7">
        <f t="shared" si="23"/>
        <v>0.96712658107641281</v>
      </c>
      <c r="U55" s="7">
        <f t="shared" si="24"/>
        <v>1.5587085705331658</v>
      </c>
    </row>
    <row r="56" spans="1:21" x14ac:dyDescent="0.6">
      <c r="A56" s="8" t="s">
        <v>40</v>
      </c>
      <c r="B56" s="7">
        <v>1.4136933716289899</v>
      </c>
      <c r="C56" s="8" t="str">
        <f>IF(B56&gt;$F$14,"★","")</f>
        <v/>
      </c>
      <c r="D56" s="7">
        <f t="shared" si="13"/>
        <v>0.15035522173078034</v>
      </c>
      <c r="E56" s="9"/>
      <c r="F56" s="8" t="str">
        <f t="shared" si="25"/>
        <v>가공우유</v>
      </c>
      <c r="G56" s="7">
        <f t="shared" si="14"/>
        <v>0.15035522173078034</v>
      </c>
      <c r="H56" s="7">
        <v>6.2388000000000003</v>
      </c>
      <c r="I56" s="7">
        <v>9.2710000000000008</v>
      </c>
      <c r="J56" s="7">
        <f t="shared" si="15"/>
        <v>0.79510106348120424</v>
      </c>
      <c r="K56" s="7">
        <f t="shared" si="16"/>
        <v>0.96712658107641281</v>
      </c>
      <c r="L56" s="7">
        <f t="shared" si="17"/>
        <v>1.5587085705331658</v>
      </c>
      <c r="M56" s="8" t="str">
        <f t="shared" si="18"/>
        <v>가공우유</v>
      </c>
      <c r="N56" s="7">
        <f t="shared" si="19"/>
        <v>1.4136933716289899</v>
      </c>
      <c r="O56" s="7">
        <v>6.2388000000000003</v>
      </c>
      <c r="P56" s="7">
        <v>9.2710000000000008</v>
      </c>
      <c r="Q56" s="8" t="str">
        <f t="shared" si="20"/>
        <v>가공우유</v>
      </c>
      <c r="R56" s="7">
        <f t="shared" si="21"/>
        <v>0.15035522173078034</v>
      </c>
      <c r="S56" s="7">
        <f t="shared" si="22"/>
        <v>0.79510106348120424</v>
      </c>
      <c r="T56" s="7">
        <f t="shared" si="23"/>
        <v>0.96712658107641281</v>
      </c>
      <c r="U56" s="7">
        <f t="shared" si="24"/>
        <v>1.5587085705331658</v>
      </c>
    </row>
    <row r="57" spans="1:21" x14ac:dyDescent="0.6">
      <c r="A57" s="8" t="s">
        <v>39</v>
      </c>
      <c r="B57" s="7">
        <v>1.4101592116066599</v>
      </c>
      <c r="C57" s="8" t="str">
        <f>IF(B57&gt;$F$14,"★","")</f>
        <v/>
      </c>
      <c r="D57" s="7">
        <f t="shared" si="13"/>
        <v>0.14926814869704466</v>
      </c>
      <c r="E57" s="9"/>
      <c r="F57" s="8" t="str">
        <f t="shared" si="25"/>
        <v>조리냉동</v>
      </c>
      <c r="G57" s="7">
        <f t="shared" si="14"/>
        <v>0.14926814869704466</v>
      </c>
      <c r="H57" s="7">
        <v>6.2388000000000003</v>
      </c>
      <c r="I57" s="7">
        <v>9.2710000000000008</v>
      </c>
      <c r="J57" s="7">
        <f t="shared" si="15"/>
        <v>0.79510106348120424</v>
      </c>
      <c r="K57" s="7">
        <f t="shared" si="16"/>
        <v>0.96712658107641281</v>
      </c>
      <c r="L57" s="7">
        <f t="shared" si="17"/>
        <v>1.5587085705331658</v>
      </c>
      <c r="M57" s="8" t="str">
        <f t="shared" si="18"/>
        <v>조리냉동</v>
      </c>
      <c r="N57" s="7">
        <f t="shared" si="19"/>
        <v>1.4101592116066599</v>
      </c>
      <c r="O57" s="7">
        <v>6.2388000000000003</v>
      </c>
      <c r="P57" s="7">
        <v>9.2710000000000008</v>
      </c>
      <c r="Q57" s="8" t="str">
        <f t="shared" si="20"/>
        <v>조리냉동</v>
      </c>
      <c r="R57" s="7">
        <f t="shared" si="21"/>
        <v>0.14926814869704466</v>
      </c>
      <c r="S57" s="7">
        <f t="shared" si="22"/>
        <v>0.79510106348120424</v>
      </c>
      <c r="T57" s="7">
        <f t="shared" si="23"/>
        <v>0.96712658107641281</v>
      </c>
      <c r="U57" s="7">
        <f t="shared" si="24"/>
        <v>1.5587085705331658</v>
      </c>
    </row>
    <row r="58" spans="1:21" x14ac:dyDescent="0.6">
      <c r="A58" s="8" t="s">
        <v>38</v>
      </c>
      <c r="B58" s="7">
        <v>1.3887255558531999</v>
      </c>
      <c r="C58" s="8" t="str">
        <f>IF(B58&gt;$F$14,"★","")</f>
        <v/>
      </c>
      <c r="D58" s="7">
        <f t="shared" si="13"/>
        <v>0.14261642762741197</v>
      </c>
      <c r="E58" s="9"/>
      <c r="F58" s="8" t="str">
        <f t="shared" si="25"/>
        <v>푸드 간편식</v>
      </c>
      <c r="G58" s="7">
        <f t="shared" si="14"/>
        <v>0.14261642762741197</v>
      </c>
      <c r="H58" s="7">
        <v>6.2388000000000003</v>
      </c>
      <c r="I58" s="7">
        <v>9.2710000000000008</v>
      </c>
      <c r="J58" s="7">
        <f t="shared" si="15"/>
        <v>0.79510106348120424</v>
      </c>
      <c r="K58" s="7">
        <f t="shared" si="16"/>
        <v>0.96712658107641281</v>
      </c>
      <c r="L58" s="7">
        <f t="shared" si="17"/>
        <v>1.5587085705331658</v>
      </c>
      <c r="M58" s="8" t="str">
        <f t="shared" si="18"/>
        <v>푸드 간편식</v>
      </c>
      <c r="N58" s="7">
        <f t="shared" si="19"/>
        <v>1.3887255558531999</v>
      </c>
      <c r="O58" s="7">
        <v>6.2388000000000003</v>
      </c>
      <c r="P58" s="7">
        <v>9.2710000000000008</v>
      </c>
      <c r="Q58" s="8" t="str">
        <f t="shared" si="20"/>
        <v>푸드 간편식</v>
      </c>
      <c r="R58" s="7">
        <f t="shared" si="21"/>
        <v>0.14261642762741197</v>
      </c>
      <c r="S58" s="7">
        <f t="shared" si="22"/>
        <v>0.79510106348120424</v>
      </c>
      <c r="T58" s="7">
        <f t="shared" si="23"/>
        <v>0.96712658107641281</v>
      </c>
      <c r="U58" s="7">
        <f t="shared" si="24"/>
        <v>1.5587085705331658</v>
      </c>
    </row>
    <row r="59" spans="1:21" x14ac:dyDescent="0.6">
      <c r="A59" s="8" t="s">
        <v>37</v>
      </c>
      <c r="B59" s="7">
        <v>1.3659019515031701</v>
      </c>
      <c r="C59" s="8" t="str">
        <f>IF(B59&gt;$F$14,"★","")</f>
        <v/>
      </c>
      <c r="D59" s="7">
        <f t="shared" si="13"/>
        <v>0.13541952551723854</v>
      </c>
      <c r="E59" s="9"/>
      <c r="F59" s="8" t="str">
        <f t="shared" si="25"/>
        <v>냉장베이커리</v>
      </c>
      <c r="G59" s="7">
        <f t="shared" si="14"/>
        <v>0.13541952551723854</v>
      </c>
      <c r="H59" s="7">
        <v>6.2388000000000003</v>
      </c>
      <c r="I59" s="7">
        <v>9.2710000000000008</v>
      </c>
      <c r="J59" s="7">
        <f t="shared" si="15"/>
        <v>0.79510106348120424</v>
      </c>
      <c r="K59" s="7">
        <f t="shared" si="16"/>
        <v>0.96712658107641281</v>
      </c>
      <c r="L59" s="7">
        <f t="shared" si="17"/>
        <v>1.5587085705331658</v>
      </c>
      <c r="M59" s="8" t="str">
        <f t="shared" si="18"/>
        <v>냉장베이커리</v>
      </c>
      <c r="N59" s="7">
        <f t="shared" si="19"/>
        <v>1.3659019515031701</v>
      </c>
      <c r="O59" s="7">
        <v>6.2388000000000003</v>
      </c>
      <c r="P59" s="7">
        <v>9.2710000000000008</v>
      </c>
      <c r="Q59" s="8" t="str">
        <f t="shared" si="20"/>
        <v>냉장베이커리</v>
      </c>
      <c r="R59" s="7">
        <f t="shared" si="21"/>
        <v>0.13541952551723854</v>
      </c>
      <c r="S59" s="7">
        <f t="shared" si="22"/>
        <v>0.79510106348120424</v>
      </c>
      <c r="T59" s="7">
        <f t="shared" si="23"/>
        <v>0.96712658107641281</v>
      </c>
      <c r="U59" s="7">
        <f t="shared" si="24"/>
        <v>1.5587085705331658</v>
      </c>
    </row>
    <row r="60" spans="1:21" x14ac:dyDescent="0.6">
      <c r="A60" s="8" t="s">
        <v>36</v>
      </c>
      <c r="B60" s="7">
        <v>1.3477532410541</v>
      </c>
      <c r="C60" s="8" t="str">
        <f>IF(B60&gt;$F$14,"★","")</f>
        <v/>
      </c>
      <c r="D60" s="7">
        <f t="shared" si="13"/>
        <v>0.12961038488592241</v>
      </c>
      <c r="E60" s="9"/>
      <c r="F60" s="8" t="str">
        <f t="shared" si="25"/>
        <v>컵커피</v>
      </c>
      <c r="G60" s="7">
        <f t="shared" si="14"/>
        <v>0.12961038488592241</v>
      </c>
      <c r="H60" s="7">
        <v>6.2388000000000003</v>
      </c>
      <c r="I60" s="7">
        <v>9.2710000000000008</v>
      </c>
      <c r="J60" s="7">
        <f t="shared" si="15"/>
        <v>0.79510106348120424</v>
      </c>
      <c r="K60" s="7">
        <f t="shared" si="16"/>
        <v>0.96712658107641281</v>
      </c>
      <c r="L60" s="7">
        <f t="shared" si="17"/>
        <v>1.5587085705331658</v>
      </c>
      <c r="M60" s="8" t="str">
        <f t="shared" si="18"/>
        <v>컵커피</v>
      </c>
      <c r="N60" s="7">
        <f t="shared" si="19"/>
        <v>1.3477532410541</v>
      </c>
      <c r="O60" s="7">
        <v>6.2388000000000003</v>
      </c>
      <c r="P60" s="7">
        <v>9.2710000000000008</v>
      </c>
      <c r="Q60" s="8" t="str">
        <f t="shared" si="20"/>
        <v>컵커피</v>
      </c>
      <c r="R60" s="7">
        <f t="shared" si="21"/>
        <v>0.12961038488592241</v>
      </c>
      <c r="S60" s="7">
        <f t="shared" si="22"/>
        <v>0.79510106348120424</v>
      </c>
      <c r="T60" s="7">
        <f t="shared" si="23"/>
        <v>0.96712658107641281</v>
      </c>
      <c r="U60" s="7">
        <f t="shared" si="24"/>
        <v>1.5587085705331658</v>
      </c>
    </row>
    <row r="61" spans="1:21" x14ac:dyDescent="0.6">
      <c r="A61" s="8" t="s">
        <v>35</v>
      </c>
      <c r="B61" s="7">
        <v>1.3379369446967599</v>
      </c>
      <c r="C61" s="8" t="str">
        <f>IF(B61&gt;$F$14,"★","")</f>
        <v/>
      </c>
      <c r="D61" s="7">
        <f t="shared" si="13"/>
        <v>0.1264356461556144</v>
      </c>
      <c r="E61" s="9"/>
      <c r="F61" s="8" t="str">
        <f t="shared" si="25"/>
        <v>주스</v>
      </c>
      <c r="G61" s="7">
        <f t="shared" si="14"/>
        <v>0.1264356461556144</v>
      </c>
      <c r="H61" s="7">
        <v>6.2388000000000003</v>
      </c>
      <c r="I61" s="7">
        <v>9.2710000000000008</v>
      </c>
      <c r="J61" s="7">
        <f t="shared" si="15"/>
        <v>0.79510106348120424</v>
      </c>
      <c r="K61" s="7">
        <f t="shared" si="16"/>
        <v>0.96712658107641281</v>
      </c>
      <c r="L61" s="7">
        <f t="shared" si="17"/>
        <v>1.5587085705331658</v>
      </c>
      <c r="M61" s="8" t="str">
        <f t="shared" si="18"/>
        <v>주스</v>
      </c>
      <c r="N61" s="7">
        <f t="shared" si="19"/>
        <v>1.3379369446967599</v>
      </c>
      <c r="O61" s="7">
        <v>6.2388000000000003</v>
      </c>
      <c r="P61" s="7">
        <v>9.2710000000000008</v>
      </c>
      <c r="Q61" s="8" t="str">
        <f t="shared" si="20"/>
        <v>주스</v>
      </c>
      <c r="R61" s="7">
        <f t="shared" si="21"/>
        <v>0.1264356461556144</v>
      </c>
      <c r="S61" s="7">
        <f t="shared" si="22"/>
        <v>0.79510106348120424</v>
      </c>
      <c r="T61" s="7">
        <f t="shared" si="23"/>
        <v>0.96712658107641281</v>
      </c>
      <c r="U61" s="7">
        <f t="shared" si="24"/>
        <v>1.5587085705331658</v>
      </c>
    </row>
    <row r="62" spans="1:21" x14ac:dyDescent="0.6">
      <c r="A62" s="8" t="s">
        <v>34</v>
      </c>
      <c r="B62" s="7">
        <v>1.2487836753563399</v>
      </c>
      <c r="C62" s="8" t="str">
        <f>IF(B62&gt;$F$14,"★","")</f>
        <v/>
      </c>
      <c r="D62" s="7">
        <f t="shared" si="13"/>
        <v>9.6487212805001513E-2</v>
      </c>
      <c r="E62" s="9"/>
      <c r="F62" s="8" t="str">
        <f t="shared" si="25"/>
        <v>냉동만두</v>
      </c>
      <c r="G62" s="7">
        <f t="shared" si="14"/>
        <v>9.6487212805001513E-2</v>
      </c>
      <c r="H62" s="7">
        <v>6.2388000000000003</v>
      </c>
      <c r="I62" s="7">
        <v>9.2710000000000008</v>
      </c>
      <c r="J62" s="7">
        <f t="shared" si="15"/>
        <v>0.79510106348120424</v>
      </c>
      <c r="K62" s="7">
        <f t="shared" si="16"/>
        <v>0.96712658107641281</v>
      </c>
      <c r="L62" s="7">
        <f t="shared" si="17"/>
        <v>1.5587085705331658</v>
      </c>
      <c r="M62" s="8" t="str">
        <f t="shared" si="18"/>
        <v>냉동만두</v>
      </c>
      <c r="N62" s="7">
        <f t="shared" si="19"/>
        <v>1.2487836753563399</v>
      </c>
      <c r="O62" s="7">
        <v>6.2388000000000003</v>
      </c>
      <c r="P62" s="7">
        <v>9.2710000000000008</v>
      </c>
      <c r="Q62" s="8" t="str">
        <f t="shared" si="20"/>
        <v>냉동만두</v>
      </c>
      <c r="R62" s="7">
        <f t="shared" si="21"/>
        <v>9.6487212805001513E-2</v>
      </c>
      <c r="S62" s="7">
        <f t="shared" si="22"/>
        <v>0.79510106348120424</v>
      </c>
      <c r="T62" s="7">
        <f t="shared" si="23"/>
        <v>0.96712658107641281</v>
      </c>
      <c r="U62" s="7">
        <f t="shared" si="24"/>
        <v>1.5587085705331658</v>
      </c>
    </row>
    <row r="63" spans="1:21" x14ac:dyDescent="0.6">
      <c r="A63" s="8" t="s">
        <v>33</v>
      </c>
      <c r="B63" s="7">
        <v>1.23455912392728</v>
      </c>
      <c r="C63" s="8" t="str">
        <f>IF(B63&gt;$F$14,"★","")</f>
        <v/>
      </c>
      <c r="D63" s="7">
        <f t="shared" si="13"/>
        <v>9.1511893442116021E-2</v>
      </c>
      <c r="E63" s="9"/>
      <c r="F63" s="8" t="str">
        <f t="shared" si="25"/>
        <v>육포</v>
      </c>
      <c r="G63" s="7">
        <f t="shared" si="14"/>
        <v>9.1511893442116021E-2</v>
      </c>
      <c r="H63" s="7">
        <v>6.2388000000000003</v>
      </c>
      <c r="I63" s="7">
        <v>9.2710000000000008</v>
      </c>
      <c r="J63" s="7">
        <f t="shared" si="15"/>
        <v>0.79510106348120424</v>
      </c>
      <c r="K63" s="7">
        <f t="shared" si="16"/>
        <v>0.96712658107641281</v>
      </c>
      <c r="L63" s="7">
        <f t="shared" si="17"/>
        <v>1.5587085705331658</v>
      </c>
      <c r="M63" s="8" t="str">
        <f t="shared" si="18"/>
        <v>육포</v>
      </c>
      <c r="N63" s="7">
        <f t="shared" si="19"/>
        <v>1.23455912392728</v>
      </c>
      <c r="O63" s="7">
        <v>6.2388000000000003</v>
      </c>
      <c r="P63" s="7">
        <v>9.2710000000000008</v>
      </c>
      <c r="Q63" s="8" t="str">
        <f t="shared" si="20"/>
        <v>육포</v>
      </c>
      <c r="R63" s="7">
        <f t="shared" si="21"/>
        <v>9.1511893442116021E-2</v>
      </c>
      <c r="S63" s="7">
        <f t="shared" si="22"/>
        <v>0.79510106348120424</v>
      </c>
      <c r="T63" s="7">
        <f t="shared" si="23"/>
        <v>0.96712658107641281</v>
      </c>
      <c r="U63" s="7">
        <f t="shared" si="24"/>
        <v>1.5587085705331658</v>
      </c>
    </row>
    <row r="64" spans="1:21" x14ac:dyDescent="0.6">
      <c r="A64" s="8" t="s">
        <v>32</v>
      </c>
      <c r="B64" s="7">
        <v>1.22114745036603</v>
      </c>
      <c r="C64" s="8" t="str">
        <f>IF(B64&gt;$F$14,"★","")</f>
        <v/>
      </c>
      <c r="D64" s="7">
        <f t="shared" si="13"/>
        <v>8.6768107035810227E-2</v>
      </c>
      <c r="E64" s="9"/>
      <c r="F64" s="8" t="str">
        <f t="shared" si="25"/>
        <v>오징어</v>
      </c>
      <c r="G64" s="7">
        <f t="shared" si="14"/>
        <v>8.6768107035810227E-2</v>
      </c>
      <c r="H64" s="7">
        <v>6.2388000000000003</v>
      </c>
      <c r="I64" s="7">
        <v>9.2710000000000008</v>
      </c>
      <c r="J64" s="7">
        <f t="shared" si="15"/>
        <v>0.79510106348120424</v>
      </c>
      <c r="K64" s="7">
        <f t="shared" si="16"/>
        <v>0.96712658107641281</v>
      </c>
      <c r="L64" s="7">
        <f t="shared" si="17"/>
        <v>1.5587085705331658</v>
      </c>
      <c r="M64" s="8" t="str">
        <f t="shared" si="18"/>
        <v>오징어</v>
      </c>
      <c r="N64" s="7">
        <f t="shared" si="19"/>
        <v>1.22114745036603</v>
      </c>
      <c r="O64" s="7">
        <v>6.2388000000000003</v>
      </c>
      <c r="P64" s="7">
        <v>9.2710000000000008</v>
      </c>
      <c r="Q64" s="8" t="str">
        <f t="shared" si="20"/>
        <v>오징어</v>
      </c>
      <c r="R64" s="7">
        <f t="shared" si="21"/>
        <v>8.6768107035810227E-2</v>
      </c>
      <c r="S64" s="7">
        <f t="shared" si="22"/>
        <v>0.79510106348120424</v>
      </c>
      <c r="T64" s="7">
        <f t="shared" si="23"/>
        <v>0.96712658107641281</v>
      </c>
      <c r="U64" s="7">
        <f t="shared" si="24"/>
        <v>1.5587085705331658</v>
      </c>
    </row>
    <row r="65" spans="1:21" x14ac:dyDescent="0.6">
      <c r="A65" s="8" t="s">
        <v>31</v>
      </c>
      <c r="B65" s="7">
        <v>1.2059999590455199</v>
      </c>
      <c r="C65" s="8" t="str">
        <f>IF(B65&gt;$F$14,"★","")</f>
        <v/>
      </c>
      <c r="D65" s="7">
        <f t="shared" si="13"/>
        <v>8.1347293055952563E-2</v>
      </c>
      <c r="E65" s="9"/>
      <c r="F65" s="8" t="str">
        <f t="shared" si="25"/>
        <v>냉장주스</v>
      </c>
      <c r="G65" s="7">
        <f t="shared" si="14"/>
        <v>8.1347293055952563E-2</v>
      </c>
      <c r="H65" s="7">
        <v>6.2388000000000003</v>
      </c>
      <c r="I65" s="7">
        <v>9.2710000000000008</v>
      </c>
      <c r="J65" s="7">
        <f t="shared" si="15"/>
        <v>0.79510106348120424</v>
      </c>
      <c r="K65" s="7">
        <f t="shared" si="16"/>
        <v>0.96712658107641281</v>
      </c>
      <c r="L65" s="7">
        <f t="shared" si="17"/>
        <v>1.5587085705331658</v>
      </c>
      <c r="M65" s="8" t="str">
        <f t="shared" si="18"/>
        <v>냉장주스</v>
      </c>
      <c r="N65" s="7">
        <f t="shared" si="19"/>
        <v>1.2059999590455199</v>
      </c>
      <c r="O65" s="7">
        <v>6.2388000000000003</v>
      </c>
      <c r="P65" s="7">
        <v>9.2710000000000008</v>
      </c>
      <c r="Q65" s="8" t="str">
        <f t="shared" si="20"/>
        <v>냉장주스</v>
      </c>
      <c r="R65" s="7">
        <f t="shared" si="21"/>
        <v>8.1347293055952563E-2</v>
      </c>
      <c r="S65" s="7">
        <f t="shared" si="22"/>
        <v>0.79510106348120424</v>
      </c>
      <c r="T65" s="7">
        <f t="shared" si="23"/>
        <v>0.96712658107641281</v>
      </c>
      <c r="U65" s="7">
        <f t="shared" si="24"/>
        <v>1.5587085705331658</v>
      </c>
    </row>
    <row r="66" spans="1:21" x14ac:dyDescent="0.6">
      <c r="A66" s="8" t="s">
        <v>30</v>
      </c>
      <c r="B66" s="7">
        <v>1.19558238929775</v>
      </c>
      <c r="C66" s="8" t="str">
        <f>IF(B66&gt;$F$14,"★","")</f>
        <v/>
      </c>
      <c r="D66" s="7">
        <f t="shared" ref="D66:D91" si="26">LOG10(B66)</f>
        <v>7.7579509338857461E-2</v>
      </c>
      <c r="E66" s="9"/>
      <c r="F66" s="8" t="str">
        <f t="shared" si="25"/>
        <v>냉장안주</v>
      </c>
      <c r="G66" s="7">
        <f t="shared" ref="G66:G91" si="27">LOG10(B66)</f>
        <v>7.7579509338857461E-2</v>
      </c>
      <c r="H66" s="7">
        <v>6.2388000000000003</v>
      </c>
      <c r="I66" s="7">
        <v>9.2710000000000008</v>
      </c>
      <c r="J66" s="7">
        <f t="shared" ref="J66:J91" si="28">LOG10(6.2388)</f>
        <v>0.79510106348120424</v>
      </c>
      <c r="K66" s="7">
        <f t="shared" ref="K66:K91" si="29">LOG10(9.271)</f>
        <v>0.96712658107641281</v>
      </c>
      <c r="L66" s="7">
        <f t="shared" ref="L66:L91" si="30">LOG10(36.2)</f>
        <v>1.5587085705331658</v>
      </c>
      <c r="M66" s="8" t="str">
        <f t="shared" ref="M66:M91" si="31">A66</f>
        <v>냉장안주</v>
      </c>
      <c r="N66" s="7">
        <f t="shared" ref="N66:N91" si="32">B66</f>
        <v>1.19558238929775</v>
      </c>
      <c r="O66" s="7">
        <v>6.2388000000000003</v>
      </c>
      <c r="P66" s="7">
        <v>9.2710000000000008</v>
      </c>
      <c r="Q66" s="8" t="str">
        <f t="shared" ref="Q66:Q91" si="33">A66</f>
        <v>냉장안주</v>
      </c>
      <c r="R66" s="7">
        <f t="shared" ref="R66:R91" si="34">LOG10(B66)</f>
        <v>7.7579509338857461E-2</v>
      </c>
      <c r="S66" s="7">
        <f t="shared" ref="S66:S91" si="35">LOG10(6.2388)</f>
        <v>0.79510106348120424</v>
      </c>
      <c r="T66" s="7">
        <f t="shared" ref="T66:T91" si="36">LOG10(9.271)</f>
        <v>0.96712658107641281</v>
      </c>
      <c r="U66" s="7">
        <f t="shared" ref="U66:U91" si="37">LOG10(36.2)</f>
        <v>1.5587085705331658</v>
      </c>
    </row>
    <row r="67" spans="1:21" x14ac:dyDescent="0.6">
      <c r="A67" s="8" t="s">
        <v>29</v>
      </c>
      <c r="B67" s="7">
        <v>1.1898759262556999</v>
      </c>
      <c r="C67" s="8" t="str">
        <f>IF(B67&gt;$F$14,"★","")</f>
        <v/>
      </c>
      <c r="D67" s="7">
        <f t="shared" si="26"/>
        <v>7.5501677903628717E-2</v>
      </c>
      <c r="E67" s="9"/>
      <c r="F67" s="8" t="str">
        <f t="shared" si="25"/>
        <v>프로틴/시리얼</v>
      </c>
      <c r="G67" s="7">
        <f t="shared" si="27"/>
        <v>7.5501677903628717E-2</v>
      </c>
      <c r="H67" s="7">
        <v>6.2388000000000003</v>
      </c>
      <c r="I67" s="7">
        <v>9.2710000000000008</v>
      </c>
      <c r="J67" s="7">
        <f t="shared" si="28"/>
        <v>0.79510106348120424</v>
      </c>
      <c r="K67" s="7">
        <f t="shared" si="29"/>
        <v>0.96712658107641281</v>
      </c>
      <c r="L67" s="7">
        <f t="shared" si="30"/>
        <v>1.5587085705331658</v>
      </c>
      <c r="M67" s="8" t="str">
        <f t="shared" si="31"/>
        <v>프로틴/시리얼</v>
      </c>
      <c r="N67" s="7">
        <f t="shared" si="32"/>
        <v>1.1898759262556999</v>
      </c>
      <c r="O67" s="7">
        <v>6.2388000000000003</v>
      </c>
      <c r="P67" s="7">
        <v>9.2710000000000008</v>
      </c>
      <c r="Q67" s="8" t="str">
        <f t="shared" si="33"/>
        <v>프로틴/시리얼</v>
      </c>
      <c r="R67" s="7">
        <f t="shared" si="34"/>
        <v>7.5501677903628717E-2</v>
      </c>
      <c r="S67" s="7">
        <f t="shared" si="35"/>
        <v>0.79510106348120424</v>
      </c>
      <c r="T67" s="7">
        <f t="shared" si="36"/>
        <v>0.96712658107641281</v>
      </c>
      <c r="U67" s="7">
        <f t="shared" si="37"/>
        <v>1.5587085705331658</v>
      </c>
    </row>
    <row r="68" spans="1:21" x14ac:dyDescent="0.6">
      <c r="A68" s="8" t="s">
        <v>28</v>
      </c>
      <c r="B68" s="7">
        <v>1.1875543520726299</v>
      </c>
      <c r="C68" s="8" t="str">
        <f>IF(B68&gt;$F$14,"★","")</f>
        <v/>
      </c>
      <c r="D68" s="7">
        <f t="shared" si="26"/>
        <v>7.4653495572728795E-2</v>
      </c>
      <c r="E68" s="9"/>
      <c r="F68" s="8" t="str">
        <f t="shared" si="25"/>
        <v>요구르트</v>
      </c>
      <c r="G68" s="7">
        <f t="shared" si="27"/>
        <v>7.4653495572728795E-2</v>
      </c>
      <c r="H68" s="7">
        <v>6.2388000000000003</v>
      </c>
      <c r="I68" s="7">
        <v>9.2710000000000008</v>
      </c>
      <c r="J68" s="7">
        <f t="shared" si="28"/>
        <v>0.79510106348120424</v>
      </c>
      <c r="K68" s="7">
        <f t="shared" si="29"/>
        <v>0.96712658107641281</v>
      </c>
      <c r="L68" s="7">
        <f t="shared" si="30"/>
        <v>1.5587085705331658</v>
      </c>
      <c r="M68" s="8" t="str">
        <f t="shared" si="31"/>
        <v>요구르트</v>
      </c>
      <c r="N68" s="7">
        <f t="shared" si="32"/>
        <v>1.1875543520726299</v>
      </c>
      <c r="O68" s="7">
        <v>6.2388000000000003</v>
      </c>
      <c r="P68" s="7">
        <v>9.2710000000000008</v>
      </c>
      <c r="Q68" s="8" t="str">
        <f t="shared" si="33"/>
        <v>요구르트</v>
      </c>
      <c r="R68" s="7">
        <f t="shared" si="34"/>
        <v>7.4653495572728795E-2</v>
      </c>
      <c r="S68" s="7">
        <f t="shared" si="35"/>
        <v>0.79510106348120424</v>
      </c>
      <c r="T68" s="7">
        <f t="shared" si="36"/>
        <v>0.96712658107641281</v>
      </c>
      <c r="U68" s="7">
        <f t="shared" si="37"/>
        <v>1.5587085705331658</v>
      </c>
    </row>
    <row r="69" spans="1:21" x14ac:dyDescent="0.6">
      <c r="A69" s="8" t="s">
        <v>27</v>
      </c>
      <c r="B69" s="7">
        <v>1.1843233524999599</v>
      </c>
      <c r="C69" s="8" t="str">
        <f>IF(B69&gt;$F$14,"★","")</f>
        <v/>
      </c>
      <c r="D69" s="7">
        <f t="shared" si="26"/>
        <v>7.3470292787292502E-2</v>
      </c>
      <c r="E69" s="9"/>
      <c r="F69" s="8" t="str">
        <f t="shared" si="25"/>
        <v>생선류</v>
      </c>
      <c r="G69" s="7">
        <f t="shared" si="27"/>
        <v>7.3470292787292502E-2</v>
      </c>
      <c r="H69" s="7">
        <v>6.2388000000000003</v>
      </c>
      <c r="I69" s="7">
        <v>9.2710000000000008</v>
      </c>
      <c r="J69" s="7">
        <f t="shared" si="28"/>
        <v>0.79510106348120424</v>
      </c>
      <c r="K69" s="7">
        <f t="shared" si="29"/>
        <v>0.96712658107641281</v>
      </c>
      <c r="L69" s="7">
        <f t="shared" si="30"/>
        <v>1.5587085705331658</v>
      </c>
      <c r="M69" s="8" t="str">
        <f t="shared" si="31"/>
        <v>생선류</v>
      </c>
      <c r="N69" s="7">
        <f t="shared" si="32"/>
        <v>1.1843233524999599</v>
      </c>
      <c r="O69" s="7">
        <v>6.2388000000000003</v>
      </c>
      <c r="P69" s="7">
        <v>9.2710000000000008</v>
      </c>
      <c r="Q69" s="8" t="str">
        <f t="shared" si="33"/>
        <v>생선류</v>
      </c>
      <c r="R69" s="7">
        <f t="shared" si="34"/>
        <v>7.3470292787292502E-2</v>
      </c>
      <c r="S69" s="7">
        <f t="shared" si="35"/>
        <v>0.79510106348120424</v>
      </c>
      <c r="T69" s="7">
        <f t="shared" si="36"/>
        <v>0.96712658107641281</v>
      </c>
      <c r="U69" s="7">
        <f t="shared" si="37"/>
        <v>1.5587085705331658</v>
      </c>
    </row>
    <row r="70" spans="1:21" x14ac:dyDescent="0.6">
      <c r="A70" s="8" t="s">
        <v>26</v>
      </c>
      <c r="B70" s="7">
        <v>1.16083043447167</v>
      </c>
      <c r="C70" s="8" t="str">
        <f>IF(B70&gt;$F$14,"★","")</f>
        <v/>
      </c>
      <c r="D70" s="7">
        <f t="shared" si="26"/>
        <v>6.4768785844080676E-2</v>
      </c>
      <c r="E70" s="9"/>
      <c r="F70" s="8" t="str">
        <f t="shared" si="25"/>
        <v>기능성우유</v>
      </c>
      <c r="G70" s="7">
        <f t="shared" si="27"/>
        <v>6.4768785844080676E-2</v>
      </c>
      <c r="H70" s="7">
        <v>6.2388000000000003</v>
      </c>
      <c r="I70" s="7">
        <v>9.2710000000000008</v>
      </c>
      <c r="J70" s="7">
        <f t="shared" si="28"/>
        <v>0.79510106348120424</v>
      </c>
      <c r="K70" s="7">
        <f t="shared" si="29"/>
        <v>0.96712658107641281</v>
      </c>
      <c r="L70" s="7">
        <f t="shared" si="30"/>
        <v>1.5587085705331658</v>
      </c>
      <c r="M70" s="8" t="str">
        <f t="shared" si="31"/>
        <v>기능성우유</v>
      </c>
      <c r="N70" s="7">
        <f t="shared" si="32"/>
        <v>1.16083043447167</v>
      </c>
      <c r="O70" s="7">
        <v>6.2388000000000003</v>
      </c>
      <c r="P70" s="7">
        <v>9.2710000000000008</v>
      </c>
      <c r="Q70" s="8" t="str">
        <f t="shared" si="33"/>
        <v>기능성우유</v>
      </c>
      <c r="R70" s="7">
        <f t="shared" si="34"/>
        <v>6.4768785844080676E-2</v>
      </c>
      <c r="S70" s="7">
        <f t="shared" si="35"/>
        <v>0.79510106348120424</v>
      </c>
      <c r="T70" s="7">
        <f t="shared" si="36"/>
        <v>0.96712658107641281</v>
      </c>
      <c r="U70" s="7">
        <f t="shared" si="37"/>
        <v>1.5587085705331658</v>
      </c>
    </row>
    <row r="71" spans="1:21" x14ac:dyDescent="0.6">
      <c r="A71" s="8" t="s">
        <v>25</v>
      </c>
      <c r="B71" s="7">
        <v>1.1583182421385301</v>
      </c>
      <c r="C71" s="8" t="str">
        <f>IF(B71&gt;$F$14,"★","")</f>
        <v/>
      </c>
      <c r="D71" s="7">
        <f t="shared" si="26"/>
        <v>6.3827896020580005E-2</v>
      </c>
      <c r="E71" s="9"/>
      <c r="F71" s="8" t="str">
        <f t="shared" si="25"/>
        <v>스낵안주</v>
      </c>
      <c r="G71" s="7">
        <f t="shared" si="27"/>
        <v>6.3827896020580005E-2</v>
      </c>
      <c r="H71" s="7">
        <v>6.2388000000000003</v>
      </c>
      <c r="I71" s="7">
        <v>9.2710000000000008</v>
      </c>
      <c r="J71" s="7">
        <f t="shared" si="28"/>
        <v>0.79510106348120424</v>
      </c>
      <c r="K71" s="7">
        <f t="shared" si="29"/>
        <v>0.96712658107641281</v>
      </c>
      <c r="L71" s="7">
        <f t="shared" si="30"/>
        <v>1.5587085705331658</v>
      </c>
      <c r="M71" s="8" t="str">
        <f t="shared" si="31"/>
        <v>스낵안주</v>
      </c>
      <c r="N71" s="7">
        <f t="shared" si="32"/>
        <v>1.1583182421385301</v>
      </c>
      <c r="O71" s="7">
        <v>6.2388000000000003</v>
      </c>
      <c r="P71" s="7">
        <v>9.2710000000000008</v>
      </c>
      <c r="Q71" s="8" t="str">
        <f t="shared" si="33"/>
        <v>스낵안주</v>
      </c>
      <c r="R71" s="7">
        <f t="shared" si="34"/>
        <v>6.3827896020580005E-2</v>
      </c>
      <c r="S71" s="7">
        <f t="shared" si="35"/>
        <v>0.79510106348120424</v>
      </c>
      <c r="T71" s="7">
        <f t="shared" si="36"/>
        <v>0.96712658107641281</v>
      </c>
      <c r="U71" s="7">
        <f t="shared" si="37"/>
        <v>1.5587085705331658</v>
      </c>
    </row>
    <row r="72" spans="1:21" x14ac:dyDescent="0.6">
      <c r="A72" s="8" t="s">
        <v>24</v>
      </c>
      <c r="B72" s="7">
        <v>1.12617208161483</v>
      </c>
      <c r="C72" s="8" t="str">
        <f>IF(B72&gt;$F$14,"★","")</f>
        <v/>
      </c>
      <c r="D72" s="7">
        <f t="shared" si="26"/>
        <v>5.1604756754846298E-2</v>
      </c>
      <c r="E72" s="9"/>
      <c r="F72" s="8" t="str">
        <f t="shared" si="25"/>
        <v>햄버거</v>
      </c>
      <c r="G72" s="7">
        <f t="shared" si="27"/>
        <v>5.1604756754846298E-2</v>
      </c>
      <c r="H72" s="7">
        <v>6.2388000000000003</v>
      </c>
      <c r="I72" s="7">
        <v>9.2710000000000008</v>
      </c>
      <c r="J72" s="7">
        <f t="shared" si="28"/>
        <v>0.79510106348120424</v>
      </c>
      <c r="K72" s="7">
        <f t="shared" si="29"/>
        <v>0.96712658107641281</v>
      </c>
      <c r="L72" s="7">
        <f t="shared" si="30"/>
        <v>1.5587085705331658</v>
      </c>
      <c r="M72" s="8" t="str">
        <f t="shared" si="31"/>
        <v>햄버거</v>
      </c>
      <c r="N72" s="7">
        <f t="shared" si="32"/>
        <v>1.12617208161483</v>
      </c>
      <c r="O72" s="7">
        <v>6.2388000000000003</v>
      </c>
      <c r="P72" s="7">
        <v>9.2710000000000008</v>
      </c>
      <c r="Q72" s="8" t="str">
        <f t="shared" si="33"/>
        <v>햄버거</v>
      </c>
      <c r="R72" s="7">
        <f t="shared" si="34"/>
        <v>5.1604756754846298E-2</v>
      </c>
      <c r="S72" s="7">
        <f t="shared" si="35"/>
        <v>0.79510106348120424</v>
      </c>
      <c r="T72" s="7">
        <f t="shared" si="36"/>
        <v>0.96712658107641281</v>
      </c>
      <c r="U72" s="7">
        <f t="shared" si="37"/>
        <v>1.5587085705331658</v>
      </c>
    </row>
    <row r="73" spans="1:21" x14ac:dyDescent="0.6">
      <c r="A73" s="8" t="s">
        <v>23</v>
      </c>
      <c r="B73" s="7">
        <v>1.11416303017531</v>
      </c>
      <c r="C73" s="8" t="str">
        <f>IF(B73&gt;$F$14,"★","")</f>
        <v/>
      </c>
      <c r="D73" s="7">
        <f t="shared" si="26"/>
        <v>4.6948743732797532E-2</v>
      </c>
      <c r="E73" s="9"/>
      <c r="F73" s="8" t="str">
        <f t="shared" si="25"/>
        <v>가공미반류</v>
      </c>
      <c r="G73" s="7">
        <f t="shared" si="27"/>
        <v>4.6948743732797532E-2</v>
      </c>
      <c r="H73" s="7">
        <v>6.2388000000000003</v>
      </c>
      <c r="I73" s="7">
        <v>9.2710000000000008</v>
      </c>
      <c r="J73" s="7">
        <f t="shared" si="28"/>
        <v>0.79510106348120424</v>
      </c>
      <c r="K73" s="7">
        <f t="shared" si="29"/>
        <v>0.96712658107641281</v>
      </c>
      <c r="L73" s="7">
        <f t="shared" si="30"/>
        <v>1.5587085705331658</v>
      </c>
      <c r="M73" s="8" t="str">
        <f t="shared" si="31"/>
        <v>가공미반류</v>
      </c>
      <c r="N73" s="7">
        <f t="shared" si="32"/>
        <v>1.11416303017531</v>
      </c>
      <c r="O73" s="7">
        <v>6.2388000000000003</v>
      </c>
      <c r="P73" s="7">
        <v>9.2710000000000008</v>
      </c>
      <c r="Q73" s="8" t="str">
        <f t="shared" si="33"/>
        <v>가공미반류</v>
      </c>
      <c r="R73" s="7">
        <f t="shared" si="34"/>
        <v>4.6948743732797532E-2</v>
      </c>
      <c r="S73" s="7">
        <f t="shared" si="35"/>
        <v>0.79510106348120424</v>
      </c>
      <c r="T73" s="7">
        <f t="shared" si="36"/>
        <v>0.96712658107641281</v>
      </c>
      <c r="U73" s="7">
        <f t="shared" si="37"/>
        <v>1.5587085705331658</v>
      </c>
    </row>
    <row r="74" spans="1:21" x14ac:dyDescent="0.6">
      <c r="A74" s="8" t="s">
        <v>22</v>
      </c>
      <c r="B74" s="7">
        <v>1.0946805813228899</v>
      </c>
      <c r="C74" s="8" t="str">
        <f>IF(B74&gt;$F$14,"★","")</f>
        <v/>
      </c>
      <c r="D74" s="7">
        <f t="shared" si="26"/>
        <v>3.9287414147967319E-2</v>
      </c>
      <c r="E74" s="9"/>
      <c r="F74" s="8" t="str">
        <f t="shared" si="25"/>
        <v>호빵</v>
      </c>
      <c r="G74" s="7">
        <f t="shared" si="27"/>
        <v>3.9287414147967319E-2</v>
      </c>
      <c r="H74" s="7">
        <v>6.2388000000000003</v>
      </c>
      <c r="I74" s="7">
        <v>9.2710000000000008</v>
      </c>
      <c r="J74" s="7">
        <f t="shared" si="28"/>
        <v>0.79510106348120424</v>
      </c>
      <c r="K74" s="7">
        <f t="shared" si="29"/>
        <v>0.96712658107641281</v>
      </c>
      <c r="L74" s="7">
        <f t="shared" si="30"/>
        <v>1.5587085705331658</v>
      </c>
      <c r="M74" s="8" t="str">
        <f t="shared" si="31"/>
        <v>호빵</v>
      </c>
      <c r="N74" s="7">
        <f t="shared" si="32"/>
        <v>1.0946805813228899</v>
      </c>
      <c r="O74" s="7">
        <v>6.2388000000000003</v>
      </c>
      <c r="P74" s="7">
        <v>9.2710000000000008</v>
      </c>
      <c r="Q74" s="8" t="str">
        <f t="shared" si="33"/>
        <v>호빵</v>
      </c>
      <c r="R74" s="7">
        <f t="shared" si="34"/>
        <v>3.9287414147967319E-2</v>
      </c>
      <c r="S74" s="7">
        <f t="shared" si="35"/>
        <v>0.79510106348120424</v>
      </c>
      <c r="T74" s="7">
        <f t="shared" si="36"/>
        <v>0.96712658107641281</v>
      </c>
      <c r="U74" s="7">
        <f t="shared" si="37"/>
        <v>1.5587085705331658</v>
      </c>
    </row>
    <row r="75" spans="1:21" x14ac:dyDescent="0.6">
      <c r="A75" s="8" t="s">
        <v>21</v>
      </c>
      <c r="B75" s="7">
        <v>1.0920115796584</v>
      </c>
      <c r="C75" s="8" t="str">
        <f>IF(B75&gt;$F$14,"★","")</f>
        <v/>
      </c>
      <c r="D75" s="7">
        <f t="shared" si="26"/>
        <v>3.8227243638939826E-2</v>
      </c>
      <c r="E75" s="9"/>
      <c r="F75" s="8" t="str">
        <f t="shared" si="25"/>
        <v>젤리</v>
      </c>
      <c r="G75" s="7">
        <f t="shared" si="27"/>
        <v>3.8227243638939826E-2</v>
      </c>
      <c r="H75" s="7">
        <v>6.2388000000000003</v>
      </c>
      <c r="I75" s="7">
        <v>9.2710000000000008</v>
      </c>
      <c r="J75" s="7">
        <f t="shared" si="28"/>
        <v>0.79510106348120424</v>
      </c>
      <c r="K75" s="7">
        <f t="shared" si="29"/>
        <v>0.96712658107641281</v>
      </c>
      <c r="L75" s="7">
        <f t="shared" si="30"/>
        <v>1.5587085705331658</v>
      </c>
      <c r="M75" s="8" t="str">
        <f t="shared" si="31"/>
        <v>젤리</v>
      </c>
      <c r="N75" s="7">
        <f t="shared" si="32"/>
        <v>1.0920115796584</v>
      </c>
      <c r="O75" s="7">
        <v>6.2388000000000003</v>
      </c>
      <c r="P75" s="7">
        <v>9.2710000000000008</v>
      </c>
      <c r="Q75" s="8" t="str">
        <f t="shared" si="33"/>
        <v>젤리</v>
      </c>
      <c r="R75" s="7">
        <f t="shared" si="34"/>
        <v>3.8227243638939826E-2</v>
      </c>
      <c r="S75" s="7">
        <f t="shared" si="35"/>
        <v>0.79510106348120424</v>
      </c>
      <c r="T75" s="7">
        <f t="shared" si="36"/>
        <v>0.96712658107641281</v>
      </c>
      <c r="U75" s="7">
        <f t="shared" si="37"/>
        <v>1.5587085705331658</v>
      </c>
    </row>
    <row r="76" spans="1:21" x14ac:dyDescent="0.6">
      <c r="A76" s="8" t="s">
        <v>20</v>
      </c>
      <c r="B76" s="7">
        <v>1.0834755946429899</v>
      </c>
      <c r="C76" s="8" t="str">
        <f>IF(B76&gt;$F$14,"★","")</f>
        <v/>
      </c>
      <c r="D76" s="7">
        <f t="shared" si="26"/>
        <v>3.4819133255052009E-2</v>
      </c>
      <c r="E76" s="9"/>
      <c r="F76" s="8" t="str">
        <f t="shared" si="25"/>
        <v>쨈/꿀</v>
      </c>
      <c r="G76" s="7">
        <f t="shared" si="27"/>
        <v>3.4819133255052009E-2</v>
      </c>
      <c r="H76" s="7">
        <v>6.2388000000000003</v>
      </c>
      <c r="I76" s="7">
        <v>9.2710000000000008</v>
      </c>
      <c r="J76" s="7">
        <f t="shared" si="28"/>
        <v>0.79510106348120424</v>
      </c>
      <c r="K76" s="7">
        <f t="shared" si="29"/>
        <v>0.96712658107641281</v>
      </c>
      <c r="L76" s="7">
        <f t="shared" si="30"/>
        <v>1.5587085705331658</v>
      </c>
      <c r="M76" s="8" t="str">
        <f t="shared" si="31"/>
        <v>쨈/꿀</v>
      </c>
      <c r="N76" s="7">
        <f t="shared" si="32"/>
        <v>1.0834755946429899</v>
      </c>
      <c r="O76" s="7">
        <v>6.2388000000000003</v>
      </c>
      <c r="P76" s="7">
        <v>9.2710000000000008</v>
      </c>
      <c r="Q76" s="8" t="str">
        <f t="shared" si="33"/>
        <v>쨈/꿀</v>
      </c>
      <c r="R76" s="7">
        <f t="shared" si="34"/>
        <v>3.4819133255052009E-2</v>
      </c>
      <c r="S76" s="7">
        <f t="shared" si="35"/>
        <v>0.79510106348120424</v>
      </c>
      <c r="T76" s="7">
        <f t="shared" si="36"/>
        <v>0.96712658107641281</v>
      </c>
      <c r="U76" s="7">
        <f t="shared" si="37"/>
        <v>1.5587085705331658</v>
      </c>
    </row>
    <row r="77" spans="1:21" x14ac:dyDescent="0.6">
      <c r="A77" s="8" t="s">
        <v>19</v>
      </c>
      <c r="B77" s="7">
        <v>1.08339348091202</v>
      </c>
      <c r="C77" s="8" t="str">
        <f>IF(B77&gt;$F$14,"★","")</f>
        <v/>
      </c>
      <c r="D77" s="7">
        <f t="shared" si="26"/>
        <v>3.4786217985118911E-2</v>
      </c>
      <c r="E77" s="9"/>
      <c r="F77" s="8" t="str">
        <f t="shared" si="25"/>
        <v xml:space="preserve">샐러드 </v>
      </c>
      <c r="G77" s="7">
        <f t="shared" si="27"/>
        <v>3.4786217985118911E-2</v>
      </c>
      <c r="H77" s="7">
        <v>6.2388000000000003</v>
      </c>
      <c r="I77" s="7">
        <v>9.2710000000000008</v>
      </c>
      <c r="J77" s="7">
        <f t="shared" si="28"/>
        <v>0.79510106348120424</v>
      </c>
      <c r="K77" s="7">
        <f t="shared" si="29"/>
        <v>0.96712658107641281</v>
      </c>
      <c r="L77" s="7">
        <f t="shared" si="30"/>
        <v>1.5587085705331658</v>
      </c>
      <c r="M77" s="8" t="str">
        <f t="shared" si="31"/>
        <v xml:space="preserve">샐러드 </v>
      </c>
      <c r="N77" s="7">
        <f t="shared" si="32"/>
        <v>1.08339348091202</v>
      </c>
      <c r="O77" s="7">
        <v>6.2388000000000003</v>
      </c>
      <c r="P77" s="7">
        <v>9.2710000000000008</v>
      </c>
      <c r="Q77" s="8" t="str">
        <f t="shared" si="33"/>
        <v xml:space="preserve">샐러드 </v>
      </c>
      <c r="R77" s="7">
        <f t="shared" si="34"/>
        <v>3.4786217985118911E-2</v>
      </c>
      <c r="S77" s="7">
        <f t="shared" si="35"/>
        <v>0.79510106348120424</v>
      </c>
      <c r="T77" s="7">
        <f t="shared" si="36"/>
        <v>0.96712658107641281</v>
      </c>
      <c r="U77" s="7">
        <f t="shared" si="37"/>
        <v>1.5587085705331658</v>
      </c>
    </row>
    <row r="78" spans="1:21" x14ac:dyDescent="0.6">
      <c r="A78" s="8" t="s">
        <v>18</v>
      </c>
      <c r="B78" s="7">
        <v>1.0612252265261199</v>
      </c>
      <c r="C78" s="8" t="str">
        <f>IF(B78&gt;$F$14,"★","")</f>
        <v/>
      </c>
      <c r="D78" s="7">
        <f t="shared" si="26"/>
        <v>2.5807565104934666E-2</v>
      </c>
      <c r="E78" s="9"/>
      <c r="F78" s="8" t="str">
        <f t="shared" si="25"/>
        <v>샐러드모닝랩</v>
      </c>
      <c r="G78" s="7">
        <f t="shared" si="27"/>
        <v>2.5807565104934666E-2</v>
      </c>
      <c r="H78" s="7">
        <v>6.2388000000000003</v>
      </c>
      <c r="I78" s="7">
        <v>9.2710000000000008</v>
      </c>
      <c r="J78" s="7">
        <f t="shared" si="28"/>
        <v>0.79510106348120424</v>
      </c>
      <c r="K78" s="7">
        <f t="shared" si="29"/>
        <v>0.96712658107641281</v>
      </c>
      <c r="L78" s="7">
        <f t="shared" si="30"/>
        <v>1.5587085705331658</v>
      </c>
      <c r="M78" s="8" t="str">
        <f t="shared" si="31"/>
        <v>샐러드모닝랩</v>
      </c>
      <c r="N78" s="7">
        <f t="shared" si="32"/>
        <v>1.0612252265261199</v>
      </c>
      <c r="O78" s="7">
        <v>6.2388000000000003</v>
      </c>
      <c r="P78" s="7">
        <v>9.2710000000000008</v>
      </c>
      <c r="Q78" s="8" t="str">
        <f t="shared" si="33"/>
        <v>샐러드모닝랩</v>
      </c>
      <c r="R78" s="7">
        <f t="shared" si="34"/>
        <v>2.5807565104934666E-2</v>
      </c>
      <c r="S78" s="7">
        <f t="shared" si="35"/>
        <v>0.79510106348120424</v>
      </c>
      <c r="T78" s="7">
        <f t="shared" si="36"/>
        <v>0.96712658107641281</v>
      </c>
      <c r="U78" s="7">
        <f t="shared" si="37"/>
        <v>1.5587085705331658</v>
      </c>
    </row>
    <row r="79" spans="1:21" x14ac:dyDescent="0.6">
      <c r="A79" s="8" t="s">
        <v>17</v>
      </c>
      <c r="B79" s="7">
        <v>1.0599104143337099</v>
      </c>
      <c r="C79" s="8" t="str">
        <f>IF(B79&gt;$F$14,"★","")</f>
        <v/>
      </c>
      <c r="D79" s="7">
        <f t="shared" si="26"/>
        <v>2.5269159411270486E-2</v>
      </c>
      <c r="E79" s="9"/>
      <c r="F79" s="8" t="str">
        <f t="shared" si="25"/>
        <v>식용유지</v>
      </c>
      <c r="G79" s="7">
        <f t="shared" si="27"/>
        <v>2.5269159411270486E-2</v>
      </c>
      <c r="H79" s="7">
        <v>6.2388000000000003</v>
      </c>
      <c r="I79" s="7">
        <v>9.2710000000000008</v>
      </c>
      <c r="J79" s="7">
        <f t="shared" si="28"/>
        <v>0.79510106348120424</v>
      </c>
      <c r="K79" s="7">
        <f t="shared" si="29"/>
        <v>0.96712658107641281</v>
      </c>
      <c r="L79" s="7">
        <f t="shared" si="30"/>
        <v>1.5587085705331658</v>
      </c>
      <c r="M79" s="8" t="str">
        <f t="shared" si="31"/>
        <v>식용유지</v>
      </c>
      <c r="N79" s="7">
        <f t="shared" si="32"/>
        <v>1.0599104143337099</v>
      </c>
      <c r="O79" s="7">
        <v>6.2388000000000003</v>
      </c>
      <c r="P79" s="7">
        <v>9.2710000000000008</v>
      </c>
      <c r="Q79" s="8" t="str">
        <f t="shared" si="33"/>
        <v>식용유지</v>
      </c>
      <c r="R79" s="7">
        <f t="shared" si="34"/>
        <v>2.5269159411270486E-2</v>
      </c>
      <c r="S79" s="7">
        <f t="shared" si="35"/>
        <v>0.79510106348120424</v>
      </c>
      <c r="T79" s="7">
        <f t="shared" si="36"/>
        <v>0.96712658107641281</v>
      </c>
      <c r="U79" s="7">
        <f t="shared" si="37"/>
        <v>1.5587085705331658</v>
      </c>
    </row>
    <row r="80" spans="1:21" x14ac:dyDescent="0.6">
      <c r="A80" s="8" t="s">
        <v>16</v>
      </c>
      <c r="B80" s="7">
        <v>1.0313739677004601</v>
      </c>
      <c r="C80" s="8" t="str">
        <f>IF(B80&gt;$F$14,"★","")</f>
        <v/>
      </c>
      <c r="D80" s="7">
        <f t="shared" si="26"/>
        <v>1.3416165439204599E-2</v>
      </c>
      <c r="E80" s="9"/>
      <c r="F80" s="8" t="str">
        <f t="shared" si="25"/>
        <v>냉장간식</v>
      </c>
      <c r="G80" s="7">
        <f t="shared" si="27"/>
        <v>1.3416165439204599E-2</v>
      </c>
      <c r="H80" s="7">
        <v>6.2388000000000003</v>
      </c>
      <c r="I80" s="7">
        <v>9.2710000000000008</v>
      </c>
      <c r="J80" s="7">
        <f t="shared" si="28"/>
        <v>0.79510106348120424</v>
      </c>
      <c r="K80" s="7">
        <f t="shared" si="29"/>
        <v>0.96712658107641281</v>
      </c>
      <c r="L80" s="7">
        <f t="shared" si="30"/>
        <v>1.5587085705331658</v>
      </c>
      <c r="M80" s="8" t="str">
        <f t="shared" si="31"/>
        <v>냉장간식</v>
      </c>
      <c r="N80" s="7">
        <f t="shared" si="32"/>
        <v>1.0313739677004601</v>
      </c>
      <c r="O80" s="7">
        <v>6.2388000000000003</v>
      </c>
      <c r="P80" s="7">
        <v>9.2710000000000008</v>
      </c>
      <c r="Q80" s="8" t="str">
        <f t="shared" si="33"/>
        <v>냉장간식</v>
      </c>
      <c r="R80" s="7">
        <f t="shared" si="34"/>
        <v>1.3416165439204599E-2</v>
      </c>
      <c r="S80" s="7">
        <f t="shared" si="35"/>
        <v>0.79510106348120424</v>
      </c>
      <c r="T80" s="7">
        <f t="shared" si="36"/>
        <v>0.96712658107641281</v>
      </c>
      <c r="U80" s="7">
        <f t="shared" si="37"/>
        <v>1.5587085705331658</v>
      </c>
    </row>
    <row r="81" spans="1:21" x14ac:dyDescent="0.6">
      <c r="A81" s="8" t="s">
        <v>15</v>
      </c>
      <c r="B81" s="7">
        <v>0.99496639271593901</v>
      </c>
      <c r="C81" s="8" t="str">
        <f>IF(B81&gt;$F$14,"★","")</f>
        <v/>
      </c>
      <c r="D81" s="7">
        <f t="shared" si="26"/>
        <v>-2.1915883040376535E-3</v>
      </c>
      <c r="E81" s="9"/>
      <c r="F81" s="8" t="str">
        <f t="shared" si="25"/>
        <v>두유</v>
      </c>
      <c r="G81" s="7">
        <f t="shared" si="27"/>
        <v>-2.1915883040376535E-3</v>
      </c>
      <c r="H81" s="7">
        <v>6.2388000000000003</v>
      </c>
      <c r="I81" s="7">
        <v>9.2710000000000008</v>
      </c>
      <c r="J81" s="7">
        <f t="shared" si="28"/>
        <v>0.79510106348120424</v>
      </c>
      <c r="K81" s="7">
        <f t="shared" si="29"/>
        <v>0.96712658107641281</v>
      </c>
      <c r="L81" s="7">
        <f t="shared" si="30"/>
        <v>1.5587085705331658</v>
      </c>
      <c r="M81" s="8" t="str">
        <f t="shared" si="31"/>
        <v>두유</v>
      </c>
      <c r="N81" s="7">
        <f t="shared" si="32"/>
        <v>0.99496639271593901</v>
      </c>
      <c r="O81" s="7">
        <v>6.2388000000000003</v>
      </c>
      <c r="P81" s="7">
        <v>9.2710000000000008</v>
      </c>
      <c r="Q81" s="8" t="str">
        <f t="shared" si="33"/>
        <v>두유</v>
      </c>
      <c r="R81" s="7">
        <f t="shared" si="34"/>
        <v>-2.1915883040376535E-3</v>
      </c>
      <c r="S81" s="7">
        <f t="shared" si="35"/>
        <v>0.79510106348120424</v>
      </c>
      <c r="T81" s="7">
        <f t="shared" si="36"/>
        <v>0.96712658107641281</v>
      </c>
      <c r="U81" s="7">
        <f t="shared" si="37"/>
        <v>1.5587085705331658</v>
      </c>
    </row>
    <row r="82" spans="1:21" x14ac:dyDescent="0.6">
      <c r="A82" s="8" t="s">
        <v>14</v>
      </c>
      <c r="B82" s="7">
        <v>0.99170164534360805</v>
      </c>
      <c r="C82" s="8" t="str">
        <f>IF(B82&gt;$F$14,"★","")</f>
        <v/>
      </c>
      <c r="D82" s="7">
        <f t="shared" si="26"/>
        <v>-3.6189662230212099E-3</v>
      </c>
      <c r="E82" s="9"/>
      <c r="F82" s="8" t="str">
        <f t="shared" si="25"/>
        <v>농산안주</v>
      </c>
      <c r="G82" s="7">
        <f t="shared" si="27"/>
        <v>-3.6189662230212099E-3</v>
      </c>
      <c r="H82" s="7">
        <v>6.2388000000000003</v>
      </c>
      <c r="I82" s="7">
        <v>9.2710000000000008</v>
      </c>
      <c r="J82" s="7">
        <f t="shared" si="28"/>
        <v>0.79510106348120424</v>
      </c>
      <c r="K82" s="7">
        <f t="shared" si="29"/>
        <v>0.96712658107641281</v>
      </c>
      <c r="L82" s="7">
        <f t="shared" si="30"/>
        <v>1.5587085705331658</v>
      </c>
      <c r="M82" s="8" t="str">
        <f t="shared" si="31"/>
        <v>농산안주</v>
      </c>
      <c r="N82" s="7">
        <f t="shared" si="32"/>
        <v>0.99170164534360805</v>
      </c>
      <c r="O82" s="7">
        <v>6.2388000000000003</v>
      </c>
      <c r="P82" s="7">
        <v>9.2710000000000008</v>
      </c>
      <c r="Q82" s="8" t="str">
        <f t="shared" si="33"/>
        <v>농산안주</v>
      </c>
      <c r="R82" s="7">
        <f t="shared" si="34"/>
        <v>-3.6189662230212099E-3</v>
      </c>
      <c r="S82" s="7">
        <f t="shared" si="35"/>
        <v>0.79510106348120424</v>
      </c>
      <c r="T82" s="7">
        <f t="shared" si="36"/>
        <v>0.96712658107641281</v>
      </c>
      <c r="U82" s="7">
        <f t="shared" si="37"/>
        <v>1.5587085705331658</v>
      </c>
    </row>
    <row r="83" spans="1:21" x14ac:dyDescent="0.6">
      <c r="A83" s="8" t="s">
        <v>13</v>
      </c>
      <c r="B83" s="7">
        <v>0.98761307844845603</v>
      </c>
      <c r="C83" s="8" t="str">
        <f>IF(B83&gt;$F$14,"★","")</f>
        <v/>
      </c>
      <c r="D83" s="7">
        <f t="shared" si="26"/>
        <v>-5.4131675651476882E-3</v>
      </c>
      <c r="E83" s="9"/>
      <c r="F83" s="8" t="str">
        <f t="shared" si="25"/>
        <v>구움과자</v>
      </c>
      <c r="G83" s="7">
        <f t="shared" si="27"/>
        <v>-5.4131675651476882E-3</v>
      </c>
      <c r="H83" s="7">
        <v>6.2388000000000003</v>
      </c>
      <c r="I83" s="7">
        <v>9.2710000000000008</v>
      </c>
      <c r="J83" s="7">
        <f t="shared" si="28"/>
        <v>0.79510106348120424</v>
      </c>
      <c r="K83" s="7">
        <f t="shared" si="29"/>
        <v>0.96712658107641281</v>
      </c>
      <c r="L83" s="7">
        <f t="shared" si="30"/>
        <v>1.5587085705331658</v>
      </c>
      <c r="M83" s="8" t="str">
        <f t="shared" si="31"/>
        <v>구움과자</v>
      </c>
      <c r="N83" s="7">
        <f t="shared" si="32"/>
        <v>0.98761307844845603</v>
      </c>
      <c r="O83" s="7">
        <v>6.2388000000000003</v>
      </c>
      <c r="P83" s="7">
        <v>9.2710000000000008</v>
      </c>
      <c r="Q83" s="8" t="str">
        <f t="shared" si="33"/>
        <v>구움과자</v>
      </c>
      <c r="R83" s="7">
        <f t="shared" si="34"/>
        <v>-5.4131675651476882E-3</v>
      </c>
      <c r="S83" s="7">
        <f t="shared" si="35"/>
        <v>0.79510106348120424</v>
      </c>
      <c r="T83" s="7">
        <f t="shared" si="36"/>
        <v>0.96712658107641281</v>
      </c>
      <c r="U83" s="7">
        <f t="shared" si="37"/>
        <v>1.5587085705331658</v>
      </c>
    </row>
    <row r="84" spans="1:21" x14ac:dyDescent="0.6">
      <c r="A84" s="8" t="s">
        <v>12</v>
      </c>
      <c r="B84" s="7">
        <v>0.98211490879007501</v>
      </c>
      <c r="C84" s="8" t="str">
        <f>IF(B84&gt;$F$14,"★","")</f>
        <v/>
      </c>
      <c r="D84" s="7">
        <f t="shared" si="26"/>
        <v>-7.8376961907439431E-3</v>
      </c>
      <c r="E84" s="9"/>
      <c r="F84" s="8" t="str">
        <f t="shared" si="25"/>
        <v>삼각김밥</v>
      </c>
      <c r="G84" s="7">
        <f t="shared" si="27"/>
        <v>-7.8376961907439431E-3</v>
      </c>
      <c r="H84" s="7">
        <v>6.2388000000000003</v>
      </c>
      <c r="I84" s="7">
        <v>9.2710000000000008</v>
      </c>
      <c r="J84" s="7">
        <f t="shared" si="28"/>
        <v>0.79510106348120424</v>
      </c>
      <c r="K84" s="7">
        <f t="shared" si="29"/>
        <v>0.96712658107641281</v>
      </c>
      <c r="L84" s="7">
        <f t="shared" si="30"/>
        <v>1.5587085705331658</v>
      </c>
      <c r="M84" s="8" t="str">
        <f t="shared" si="31"/>
        <v>삼각김밥</v>
      </c>
      <c r="N84" s="7">
        <f t="shared" si="32"/>
        <v>0.98211490879007501</v>
      </c>
      <c r="O84" s="7">
        <v>6.2388000000000003</v>
      </c>
      <c r="P84" s="7">
        <v>9.2710000000000008</v>
      </c>
      <c r="Q84" s="8" t="str">
        <f t="shared" si="33"/>
        <v>삼각김밥</v>
      </c>
      <c r="R84" s="7">
        <f t="shared" si="34"/>
        <v>-7.8376961907439431E-3</v>
      </c>
      <c r="S84" s="7">
        <f t="shared" si="35"/>
        <v>0.79510106348120424</v>
      </c>
      <c r="T84" s="7">
        <f t="shared" si="36"/>
        <v>0.96712658107641281</v>
      </c>
      <c r="U84" s="7">
        <f t="shared" si="37"/>
        <v>1.5587085705331658</v>
      </c>
    </row>
    <row r="85" spans="1:21" x14ac:dyDescent="0.6">
      <c r="A85" s="8" t="s">
        <v>11</v>
      </c>
      <c r="B85" s="7">
        <v>0.97076890060492904</v>
      </c>
      <c r="C85" s="8" t="str">
        <f>IF(B85&gt;$F$14,"★","")</f>
        <v/>
      </c>
      <c r="D85" s="7">
        <f t="shared" si="26"/>
        <v>-1.2884145104843581E-2</v>
      </c>
      <c r="E85" s="9"/>
      <c r="F85" s="8" t="str">
        <f t="shared" ref="F85:F91" si="38">A85</f>
        <v>식빵</v>
      </c>
      <c r="G85" s="7">
        <f t="shared" si="27"/>
        <v>-1.2884145104843581E-2</v>
      </c>
      <c r="H85" s="7">
        <v>6.2388000000000003</v>
      </c>
      <c r="I85" s="7">
        <v>9.2710000000000008</v>
      </c>
      <c r="J85" s="7">
        <f t="shared" si="28"/>
        <v>0.79510106348120424</v>
      </c>
      <c r="K85" s="7">
        <f t="shared" si="29"/>
        <v>0.96712658107641281</v>
      </c>
      <c r="L85" s="7">
        <f t="shared" si="30"/>
        <v>1.5587085705331658</v>
      </c>
      <c r="M85" s="8" t="str">
        <f t="shared" si="31"/>
        <v>식빵</v>
      </c>
      <c r="N85" s="7">
        <f t="shared" si="32"/>
        <v>0.97076890060492904</v>
      </c>
      <c r="O85" s="7">
        <v>6.2388000000000003</v>
      </c>
      <c r="P85" s="7">
        <v>9.2710000000000008</v>
      </c>
      <c r="Q85" s="8" t="str">
        <f t="shared" si="33"/>
        <v>식빵</v>
      </c>
      <c r="R85" s="7">
        <f t="shared" si="34"/>
        <v>-1.2884145104843581E-2</v>
      </c>
      <c r="S85" s="7">
        <f t="shared" si="35"/>
        <v>0.79510106348120424</v>
      </c>
      <c r="T85" s="7">
        <f t="shared" si="36"/>
        <v>0.96712658107641281</v>
      </c>
      <c r="U85" s="7">
        <f t="shared" si="37"/>
        <v>1.5587085705331658</v>
      </c>
    </row>
    <row r="86" spans="1:21" x14ac:dyDescent="0.6">
      <c r="A86" s="8" t="s">
        <v>10</v>
      </c>
      <c r="B86" s="7">
        <v>0.97003366192198603</v>
      </c>
      <c r="C86" s="8" t="str">
        <f>IF(B86&gt;$F$14,"★","")</f>
        <v/>
      </c>
      <c r="D86" s="7">
        <f t="shared" si="26"/>
        <v>-1.3213194668487367E-2</v>
      </c>
      <c r="E86" s="9"/>
      <c r="F86" s="8" t="str">
        <f t="shared" si="38"/>
        <v>초밥류</v>
      </c>
      <c r="G86" s="7">
        <f t="shared" si="27"/>
        <v>-1.3213194668487367E-2</v>
      </c>
      <c r="H86" s="7">
        <v>6.2388000000000003</v>
      </c>
      <c r="I86" s="7">
        <v>9.2710000000000008</v>
      </c>
      <c r="J86" s="7">
        <f t="shared" si="28"/>
        <v>0.79510106348120424</v>
      </c>
      <c r="K86" s="7">
        <f t="shared" si="29"/>
        <v>0.96712658107641281</v>
      </c>
      <c r="L86" s="7">
        <f t="shared" si="30"/>
        <v>1.5587085705331658</v>
      </c>
      <c r="M86" s="8" t="str">
        <f t="shared" si="31"/>
        <v>초밥류</v>
      </c>
      <c r="N86" s="7">
        <f t="shared" si="32"/>
        <v>0.97003366192198603</v>
      </c>
      <c r="O86" s="7">
        <v>6.2388000000000003</v>
      </c>
      <c r="P86" s="7">
        <v>9.2710000000000008</v>
      </c>
      <c r="Q86" s="8" t="str">
        <f t="shared" si="33"/>
        <v>초밥류</v>
      </c>
      <c r="R86" s="7">
        <f t="shared" si="34"/>
        <v>-1.3213194668487367E-2</v>
      </c>
      <c r="S86" s="7">
        <f t="shared" si="35"/>
        <v>0.79510106348120424</v>
      </c>
      <c r="T86" s="7">
        <f t="shared" si="36"/>
        <v>0.96712658107641281</v>
      </c>
      <c r="U86" s="7">
        <f t="shared" si="37"/>
        <v>1.5587085705331658</v>
      </c>
    </row>
    <row r="87" spans="1:21" x14ac:dyDescent="0.6">
      <c r="A87" s="8" t="s">
        <v>9</v>
      </c>
      <c r="B87" s="7">
        <v>0.95321186424190496</v>
      </c>
      <c r="C87" s="8" t="str">
        <f>IF(B87&gt;$F$14,"★","")</f>
        <v/>
      </c>
      <c r="D87" s="7">
        <f t="shared" si="26"/>
        <v>-2.0810560804468244E-2</v>
      </c>
      <c r="E87" s="9"/>
      <c r="F87" s="8" t="str">
        <f t="shared" si="38"/>
        <v>차음료</v>
      </c>
      <c r="G87" s="7">
        <f t="shared" si="27"/>
        <v>-2.0810560804468244E-2</v>
      </c>
      <c r="H87" s="7">
        <v>6.2388000000000003</v>
      </c>
      <c r="I87" s="7">
        <v>9.2710000000000008</v>
      </c>
      <c r="J87" s="7">
        <f t="shared" si="28"/>
        <v>0.79510106348120424</v>
      </c>
      <c r="K87" s="7">
        <f t="shared" si="29"/>
        <v>0.96712658107641281</v>
      </c>
      <c r="L87" s="7">
        <f t="shared" si="30"/>
        <v>1.5587085705331658</v>
      </c>
      <c r="M87" s="8" t="str">
        <f t="shared" si="31"/>
        <v>차음료</v>
      </c>
      <c r="N87" s="7">
        <f t="shared" si="32"/>
        <v>0.95321186424190496</v>
      </c>
      <c r="O87" s="7">
        <v>6.2388000000000003</v>
      </c>
      <c r="P87" s="7">
        <v>9.2710000000000008</v>
      </c>
      <c r="Q87" s="8" t="str">
        <f t="shared" si="33"/>
        <v>차음료</v>
      </c>
      <c r="R87" s="7">
        <f t="shared" si="34"/>
        <v>-2.0810560804468244E-2</v>
      </c>
      <c r="S87" s="7">
        <f t="shared" si="35"/>
        <v>0.79510106348120424</v>
      </c>
      <c r="T87" s="7">
        <f t="shared" si="36"/>
        <v>0.96712658107641281</v>
      </c>
      <c r="U87" s="7">
        <f t="shared" si="37"/>
        <v>1.5587085705331658</v>
      </c>
    </row>
    <row r="88" spans="1:21" x14ac:dyDescent="0.6">
      <c r="A88" s="8" t="s">
        <v>8</v>
      </c>
      <c r="B88" s="7">
        <v>0.94865646790640401</v>
      </c>
      <c r="C88" s="8" t="str">
        <f>IF(B88&gt;$F$14,"★","")</f>
        <v/>
      </c>
      <c r="D88" s="7">
        <f t="shared" si="26"/>
        <v>-2.2891027933919589E-2</v>
      </c>
      <c r="E88" s="9"/>
      <c r="F88" s="8" t="str">
        <f t="shared" si="38"/>
        <v>냉장피자</v>
      </c>
      <c r="G88" s="7">
        <f t="shared" si="27"/>
        <v>-2.2891027933919589E-2</v>
      </c>
      <c r="H88" s="7">
        <v>6.2388000000000003</v>
      </c>
      <c r="I88" s="7">
        <v>9.2710000000000008</v>
      </c>
      <c r="J88" s="7">
        <f t="shared" si="28"/>
        <v>0.79510106348120424</v>
      </c>
      <c r="K88" s="7">
        <f t="shared" si="29"/>
        <v>0.96712658107641281</v>
      </c>
      <c r="L88" s="7">
        <f t="shared" si="30"/>
        <v>1.5587085705331658</v>
      </c>
      <c r="M88" s="8" t="str">
        <f t="shared" si="31"/>
        <v>냉장피자</v>
      </c>
      <c r="N88" s="7">
        <f t="shared" si="32"/>
        <v>0.94865646790640401</v>
      </c>
      <c r="O88" s="7">
        <v>6.2388000000000003</v>
      </c>
      <c r="P88" s="7">
        <v>9.2710000000000008</v>
      </c>
      <c r="Q88" s="8" t="str">
        <f t="shared" si="33"/>
        <v>냉장피자</v>
      </c>
      <c r="R88" s="7">
        <f t="shared" si="34"/>
        <v>-2.2891027933919589E-2</v>
      </c>
      <c r="S88" s="7">
        <f t="shared" si="35"/>
        <v>0.79510106348120424</v>
      </c>
      <c r="T88" s="7">
        <f t="shared" si="36"/>
        <v>0.96712658107641281</v>
      </c>
      <c r="U88" s="7">
        <f t="shared" si="37"/>
        <v>1.5587085705331658</v>
      </c>
    </row>
    <row r="89" spans="1:21" x14ac:dyDescent="0.6">
      <c r="A89" s="8" t="s">
        <v>7</v>
      </c>
      <c r="B89" s="7">
        <v>0.94320307626831901</v>
      </c>
      <c r="C89" s="8" t="str">
        <f>IF(B89&gt;$F$14,"★","")</f>
        <v/>
      </c>
      <c r="D89" s="7">
        <f t="shared" si="26"/>
        <v>-2.5394791453916075E-2</v>
      </c>
      <c r="E89" s="9"/>
      <c r="F89" s="8" t="str">
        <f t="shared" si="38"/>
        <v>김밥</v>
      </c>
      <c r="G89" s="7">
        <f t="shared" si="27"/>
        <v>-2.5394791453916075E-2</v>
      </c>
      <c r="H89" s="7">
        <v>6.2388000000000003</v>
      </c>
      <c r="I89" s="7">
        <v>9.2710000000000008</v>
      </c>
      <c r="J89" s="7">
        <f t="shared" si="28"/>
        <v>0.79510106348120424</v>
      </c>
      <c r="K89" s="7">
        <f t="shared" si="29"/>
        <v>0.96712658107641281</v>
      </c>
      <c r="L89" s="7">
        <f t="shared" si="30"/>
        <v>1.5587085705331658</v>
      </c>
      <c r="M89" s="8" t="str">
        <f t="shared" si="31"/>
        <v>김밥</v>
      </c>
      <c r="N89" s="7">
        <f t="shared" si="32"/>
        <v>0.94320307626831901</v>
      </c>
      <c r="O89" s="7">
        <v>6.2388000000000003</v>
      </c>
      <c r="P89" s="7">
        <v>9.2710000000000008</v>
      </c>
      <c r="Q89" s="8" t="str">
        <f t="shared" si="33"/>
        <v>김밥</v>
      </c>
      <c r="R89" s="7">
        <f t="shared" si="34"/>
        <v>-2.5394791453916075E-2</v>
      </c>
      <c r="S89" s="7">
        <f t="shared" si="35"/>
        <v>0.79510106348120424</v>
      </c>
      <c r="T89" s="7">
        <f t="shared" si="36"/>
        <v>0.96712658107641281</v>
      </c>
      <c r="U89" s="7">
        <f t="shared" si="37"/>
        <v>1.5587085705331658</v>
      </c>
    </row>
    <row r="90" spans="1:21" x14ac:dyDescent="0.6">
      <c r="A90" s="8" t="s">
        <v>6</v>
      </c>
      <c r="B90" s="7">
        <v>0.88931511645721595</v>
      </c>
      <c r="C90" s="8" t="str">
        <f>IF(B90&gt;$F$14,"★","")</f>
        <v/>
      </c>
      <c r="D90" s="7">
        <f t="shared" si="26"/>
        <v>-5.0944325543147546E-2</v>
      </c>
      <c r="E90" s="9"/>
      <c r="F90" s="8" t="str">
        <f t="shared" si="38"/>
        <v>흰우유</v>
      </c>
      <c r="G90" s="7">
        <f t="shared" si="27"/>
        <v>-5.0944325543147546E-2</v>
      </c>
      <c r="H90" s="7">
        <v>6.2388000000000003</v>
      </c>
      <c r="I90" s="7">
        <v>9.2710000000000008</v>
      </c>
      <c r="J90" s="7">
        <f t="shared" si="28"/>
        <v>0.79510106348120424</v>
      </c>
      <c r="K90" s="7">
        <f t="shared" si="29"/>
        <v>0.96712658107641281</v>
      </c>
      <c r="L90" s="7">
        <f t="shared" si="30"/>
        <v>1.5587085705331658</v>
      </c>
      <c r="M90" s="8" t="str">
        <f t="shared" si="31"/>
        <v>흰우유</v>
      </c>
      <c r="N90" s="7">
        <f t="shared" si="32"/>
        <v>0.88931511645721595</v>
      </c>
      <c r="O90" s="7">
        <v>6.2388000000000003</v>
      </c>
      <c r="P90" s="7">
        <v>9.2710000000000008</v>
      </c>
      <c r="Q90" s="8" t="str">
        <f t="shared" si="33"/>
        <v>흰우유</v>
      </c>
      <c r="R90" s="7">
        <f t="shared" si="34"/>
        <v>-5.0944325543147546E-2</v>
      </c>
      <c r="S90" s="7">
        <f t="shared" si="35"/>
        <v>0.79510106348120424</v>
      </c>
      <c r="T90" s="7">
        <f t="shared" si="36"/>
        <v>0.96712658107641281</v>
      </c>
      <c r="U90" s="7">
        <f t="shared" si="37"/>
        <v>1.5587085705331658</v>
      </c>
    </row>
    <row r="91" spans="1:21" x14ac:dyDescent="0.6">
      <c r="A91" s="8" t="s">
        <v>5</v>
      </c>
      <c r="B91" s="7">
        <v>0.88422972756565998</v>
      </c>
      <c r="C91" s="8" t="str">
        <f>IF(B91&gt;$F$14,"★","")</f>
        <v/>
      </c>
      <c r="D91" s="7">
        <f t="shared" si="26"/>
        <v>-5.3434888321006541E-2</v>
      </c>
      <c r="E91" s="9"/>
      <c r="F91" s="8" t="str">
        <f t="shared" si="38"/>
        <v>유제품</v>
      </c>
      <c r="G91" s="7">
        <f t="shared" si="27"/>
        <v>-5.3434888321006541E-2</v>
      </c>
      <c r="H91" s="7">
        <v>6.2388000000000003</v>
      </c>
      <c r="I91" s="7">
        <v>9.2710000000000008</v>
      </c>
      <c r="J91" s="7">
        <f t="shared" si="28"/>
        <v>0.79510106348120424</v>
      </c>
      <c r="K91" s="7">
        <f t="shared" si="29"/>
        <v>0.96712658107641281</v>
      </c>
      <c r="L91" s="7">
        <f t="shared" si="30"/>
        <v>1.5587085705331658</v>
      </c>
      <c r="M91" s="8" t="str">
        <f t="shared" si="31"/>
        <v>유제품</v>
      </c>
      <c r="N91" s="7">
        <f t="shared" si="32"/>
        <v>0.88422972756565998</v>
      </c>
      <c r="O91" s="7">
        <v>6.2388000000000003</v>
      </c>
      <c r="P91" s="7">
        <v>9.2710000000000008</v>
      </c>
      <c r="Q91" s="8" t="str">
        <f t="shared" si="33"/>
        <v>유제품</v>
      </c>
      <c r="R91" s="7">
        <f t="shared" si="34"/>
        <v>-5.3434888321006541E-2</v>
      </c>
      <c r="S91" s="7">
        <f t="shared" si="35"/>
        <v>0.79510106348120424</v>
      </c>
      <c r="T91" s="7">
        <f t="shared" si="36"/>
        <v>0.96712658107641281</v>
      </c>
      <c r="U91" s="7">
        <f t="shared" si="37"/>
        <v>1.5587085705331658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카테고리분석with파레토</vt:lpstr>
      <vt:lpstr>분포분석_파레토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송정현</cp:lastModifiedBy>
  <dcterms:created xsi:type="dcterms:W3CDTF">2026-04-22T11:04:18Z</dcterms:created>
  <dcterms:modified xsi:type="dcterms:W3CDTF">2026-04-22T16:53:19Z</dcterms:modified>
</cp:coreProperties>
</file>