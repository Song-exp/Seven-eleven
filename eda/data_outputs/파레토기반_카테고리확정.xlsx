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송정현\Documents\Projects\박재홍교수님세미나\Projects\20기\7eleven_npd_framework\eda\"/>
    </mc:Choice>
  </mc:AlternateContent>
  <xr:revisionPtr revIDLastSave="0" documentId="13_ncr:1_{17C7FEAD-00F1-48C0-9823-DFDC7B10FBA2}" xr6:coauthVersionLast="47" xr6:coauthVersionMax="47" xr10:uidLastSave="{00000000-0000-0000-0000-000000000000}"/>
  <bookViews>
    <workbookView xWindow="-19290" yWindow="-90" windowWidth="19380" windowHeight="10260" xr2:uid="{00000000-000D-0000-FFFF-FFFF00000000}"/>
  </bookViews>
  <sheets>
    <sheet name="00_Master_npd_1month_pareto" sheetId="3" r:id="rId1"/>
  </sheets>
  <definedNames>
    <definedName name="_xlnm._FilterDatabase" localSheetId="0" hidden="1">'00_Master_npd_1month_pareto'!$A$1:$L$92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3" l="1" a="1"/>
  <c r="H6" i="3" s="1"/>
  <c r="L92" i="3" a="1"/>
  <c r="L92" i="3" s="1"/>
  <c r="K92" i="3" a="1"/>
  <c r="K92" i="3" s="1"/>
  <c r="J92" i="3" a="1"/>
  <c r="J92" i="3" s="1"/>
  <c r="I92" i="3" a="1"/>
  <c r="I92" i="3" s="1"/>
  <c r="H92" i="3" a="1"/>
  <c r="H92" i="3" s="1"/>
  <c r="L91" i="3" a="1"/>
  <c r="L91" i="3" s="1"/>
  <c r="K91" i="3" a="1"/>
  <c r="K91" i="3" s="1"/>
  <c r="J91" i="3" a="1"/>
  <c r="J91" i="3" s="1"/>
  <c r="I91" i="3" a="1"/>
  <c r="I91" i="3" s="1"/>
  <c r="H91" i="3" a="1"/>
  <c r="H91" i="3" s="1"/>
  <c r="L90" i="3" a="1"/>
  <c r="L90" i="3" s="1"/>
  <c r="K90" i="3" a="1"/>
  <c r="K90" i="3" s="1"/>
  <c r="J90" i="3" a="1"/>
  <c r="J90" i="3" s="1"/>
  <c r="I90" i="3" a="1"/>
  <c r="I90" i="3" s="1"/>
  <c r="H90" i="3" a="1"/>
  <c r="H90" i="3" s="1"/>
  <c r="L89" i="3" a="1"/>
  <c r="L89" i="3" s="1"/>
  <c r="K89" i="3" a="1"/>
  <c r="K89" i="3" s="1"/>
  <c r="J89" i="3" a="1"/>
  <c r="J89" i="3" s="1"/>
  <c r="I89" i="3" a="1"/>
  <c r="I89" i="3" s="1"/>
  <c r="H89" i="3" a="1"/>
  <c r="H89" i="3" s="1"/>
  <c r="L88" i="3" a="1"/>
  <c r="L88" i="3" s="1"/>
  <c r="K88" i="3" a="1"/>
  <c r="K88" i="3" s="1"/>
  <c r="J88" i="3" a="1"/>
  <c r="J88" i="3" s="1"/>
  <c r="I88" i="3" a="1"/>
  <c r="I88" i="3" s="1"/>
  <c r="H88" i="3" a="1"/>
  <c r="H88" i="3" s="1"/>
  <c r="L87" i="3" a="1"/>
  <c r="L87" i="3" s="1"/>
  <c r="K87" i="3" a="1"/>
  <c r="K87" i="3" s="1"/>
  <c r="J87" i="3" a="1"/>
  <c r="J87" i="3" s="1"/>
  <c r="I87" i="3" a="1"/>
  <c r="I87" i="3" s="1"/>
  <c r="H87" i="3" a="1"/>
  <c r="H87" i="3" s="1"/>
  <c r="L86" i="3" a="1"/>
  <c r="L86" i="3" s="1"/>
  <c r="K86" i="3" a="1"/>
  <c r="K86" i="3" s="1"/>
  <c r="J86" i="3" a="1"/>
  <c r="J86" i="3" s="1"/>
  <c r="I86" i="3" a="1"/>
  <c r="I86" i="3" s="1"/>
  <c r="H86" i="3" a="1"/>
  <c r="H86" i="3" s="1"/>
  <c r="L85" i="3" a="1"/>
  <c r="L85" i="3" s="1"/>
  <c r="K85" i="3" a="1"/>
  <c r="K85" i="3" s="1"/>
  <c r="J85" i="3" a="1"/>
  <c r="J85" i="3" s="1"/>
  <c r="I85" i="3" a="1"/>
  <c r="I85" i="3" s="1"/>
  <c r="L84" i="3" a="1"/>
  <c r="L84" i="3" s="1"/>
  <c r="K84" i="3" a="1"/>
  <c r="K84" i="3" s="1"/>
  <c r="I84" i="3" a="1"/>
  <c r="I84" i="3" s="1"/>
  <c r="H84" i="3" a="1"/>
  <c r="H84" i="3" s="1"/>
  <c r="L83" i="3" a="1"/>
  <c r="L83" i="3" s="1"/>
  <c r="K83" i="3" a="1"/>
  <c r="K83" i="3" s="1"/>
  <c r="J83" i="3" a="1"/>
  <c r="J83" i="3" s="1"/>
  <c r="I83" i="3" a="1"/>
  <c r="I83" i="3" s="1"/>
  <c r="H83" i="3" a="1"/>
  <c r="H83" i="3" s="1"/>
  <c r="L82" i="3" a="1"/>
  <c r="L82" i="3" s="1"/>
  <c r="K82" i="3" a="1"/>
  <c r="K82" i="3" s="1"/>
  <c r="J82" i="3" a="1"/>
  <c r="J82" i="3" s="1"/>
  <c r="I82" i="3" a="1"/>
  <c r="I82" i="3" s="1"/>
  <c r="H82" i="3" a="1"/>
  <c r="H82" i="3" s="1"/>
  <c r="L81" i="3" a="1"/>
  <c r="L81" i="3" s="1"/>
  <c r="K81" i="3" a="1"/>
  <c r="K81" i="3" s="1"/>
  <c r="J81" i="3" a="1"/>
  <c r="J81" i="3" s="1"/>
  <c r="I81" i="3" a="1"/>
  <c r="I81" i="3" s="1"/>
  <c r="H81" i="3" a="1"/>
  <c r="H81" i="3" s="1"/>
  <c r="L80" i="3" a="1"/>
  <c r="L80" i="3" s="1"/>
  <c r="K80" i="3" a="1"/>
  <c r="K80" i="3" s="1"/>
  <c r="J80" i="3" a="1"/>
  <c r="J80" i="3" s="1"/>
  <c r="I80" i="3" a="1"/>
  <c r="I80" i="3" s="1"/>
  <c r="H80" i="3" a="1"/>
  <c r="H80" i="3" s="1"/>
  <c r="L79" i="3" a="1"/>
  <c r="L79" i="3" s="1"/>
  <c r="K79" i="3" a="1"/>
  <c r="K79" i="3" s="1"/>
  <c r="J79" i="3" a="1"/>
  <c r="J79" i="3" s="1"/>
  <c r="I79" i="3" a="1"/>
  <c r="I79" i="3" s="1"/>
  <c r="H79" i="3" a="1"/>
  <c r="H79" i="3" s="1"/>
  <c r="L78" i="3" a="1"/>
  <c r="L78" i="3" s="1"/>
  <c r="K78" i="3" a="1"/>
  <c r="K78" i="3" s="1"/>
  <c r="J78" i="3" a="1"/>
  <c r="J78" i="3" s="1"/>
  <c r="I78" i="3" a="1"/>
  <c r="I78" i="3" s="1"/>
  <c r="L77" i="3" a="1"/>
  <c r="L77" i="3" s="1"/>
  <c r="J77" i="3" a="1"/>
  <c r="J77" i="3" s="1"/>
  <c r="I77" i="3" a="1"/>
  <c r="I77" i="3" s="1"/>
  <c r="L76" i="3" a="1"/>
  <c r="L76" i="3" s="1"/>
  <c r="K76" i="3" a="1"/>
  <c r="K76" i="3" s="1"/>
  <c r="J76" i="3" a="1"/>
  <c r="J76" i="3" s="1"/>
  <c r="I76" i="3" a="1"/>
  <c r="I76" i="3" s="1"/>
  <c r="H76" i="3" a="1"/>
  <c r="H76" i="3" s="1"/>
  <c r="L75" i="3" a="1"/>
  <c r="L75" i="3" s="1"/>
  <c r="K75" i="3" a="1"/>
  <c r="K75" i="3" s="1"/>
  <c r="J75" i="3" a="1"/>
  <c r="J75" i="3" s="1"/>
  <c r="I75" i="3" a="1"/>
  <c r="I75" i="3" s="1"/>
  <c r="L74" i="3" a="1"/>
  <c r="L74" i="3" s="1"/>
  <c r="K74" i="3" a="1"/>
  <c r="K74" i="3" s="1"/>
  <c r="J74" i="3" a="1"/>
  <c r="J74" i="3" s="1"/>
  <c r="I74" i="3"/>
  <c r="I74" i="3" a="1"/>
  <c r="H74" i="3" a="1"/>
  <c r="H74" i="3" s="1"/>
  <c r="L73" i="3" a="1"/>
  <c r="L73" i="3" s="1"/>
  <c r="K73" i="3" a="1"/>
  <c r="K73" i="3" s="1"/>
  <c r="J73" i="3" a="1"/>
  <c r="J73" i="3" s="1"/>
  <c r="I73" i="3" a="1"/>
  <c r="I73" i="3" s="1"/>
  <c r="H73" i="3" a="1"/>
  <c r="H73" i="3" s="1"/>
  <c r="L72" i="3" a="1"/>
  <c r="L72" i="3" s="1"/>
  <c r="K72" i="3" a="1"/>
  <c r="K72" i="3" s="1"/>
  <c r="J72" i="3" a="1"/>
  <c r="J72" i="3" s="1"/>
  <c r="I72" i="3" a="1"/>
  <c r="I72" i="3" s="1"/>
  <c r="H72" i="3" a="1"/>
  <c r="H72" i="3" s="1"/>
  <c r="L71" i="3" a="1"/>
  <c r="L71" i="3" s="1"/>
  <c r="K71" i="3" a="1"/>
  <c r="K71" i="3" s="1"/>
  <c r="J71" i="3" a="1"/>
  <c r="J71" i="3" s="1"/>
  <c r="I71" i="3"/>
  <c r="I71" i="3" a="1"/>
  <c r="H71" i="3" a="1"/>
  <c r="H71" i="3" s="1"/>
  <c r="L70" i="3" a="1"/>
  <c r="L70" i="3" s="1"/>
  <c r="K70" i="3" a="1"/>
  <c r="K70" i="3" s="1"/>
  <c r="J70" i="3" a="1"/>
  <c r="J70" i="3" s="1"/>
  <c r="I70" i="3" a="1"/>
  <c r="I70" i="3" s="1"/>
  <c r="H70" i="3" a="1"/>
  <c r="H70" i="3" s="1"/>
  <c r="L69" i="3" a="1"/>
  <c r="L69" i="3" s="1"/>
  <c r="K69" i="3" a="1"/>
  <c r="K69" i="3" s="1"/>
  <c r="J69" i="3" a="1"/>
  <c r="J69" i="3" s="1"/>
  <c r="I69" i="3" a="1"/>
  <c r="I69" i="3" s="1"/>
  <c r="H69" i="3" a="1"/>
  <c r="H69" i="3" s="1"/>
  <c r="L68" i="3" a="1"/>
  <c r="L68" i="3" s="1"/>
  <c r="K68" i="3" a="1"/>
  <c r="K68" i="3" s="1"/>
  <c r="J68" i="3" a="1"/>
  <c r="J68" i="3" s="1"/>
  <c r="I68" i="3" a="1"/>
  <c r="I68" i="3" s="1"/>
  <c r="H68" i="3" a="1"/>
  <c r="H68" i="3" s="1"/>
  <c r="L67" i="3" a="1"/>
  <c r="L67" i="3" s="1"/>
  <c r="K67" i="3" a="1"/>
  <c r="K67" i="3" s="1"/>
  <c r="J67" i="3" a="1"/>
  <c r="J67" i="3" s="1"/>
  <c r="I67" i="3" a="1"/>
  <c r="I67" i="3" s="1"/>
  <c r="H67" i="3" a="1"/>
  <c r="H67" i="3" s="1"/>
  <c r="L66" i="3" a="1"/>
  <c r="L66" i="3" s="1"/>
  <c r="K66" i="3" a="1"/>
  <c r="K66" i="3" s="1"/>
  <c r="J66" i="3" a="1"/>
  <c r="J66" i="3" s="1"/>
  <c r="I66" i="3" a="1"/>
  <c r="I66" i="3" s="1"/>
  <c r="L65" i="3" a="1"/>
  <c r="L65" i="3" s="1"/>
  <c r="K65" i="3" a="1"/>
  <c r="K65" i="3" s="1"/>
  <c r="J65" i="3" a="1"/>
  <c r="J65" i="3" s="1"/>
  <c r="I65" i="3" a="1"/>
  <c r="I65" i="3" s="1"/>
  <c r="H65" i="3" a="1"/>
  <c r="H65" i="3" s="1"/>
  <c r="L64" i="3" a="1"/>
  <c r="L64" i="3" s="1"/>
  <c r="K64" i="3" a="1"/>
  <c r="K64" i="3" s="1"/>
  <c r="J64" i="3" a="1"/>
  <c r="J64" i="3" s="1"/>
  <c r="I64" i="3" a="1"/>
  <c r="I64" i="3" s="1"/>
  <c r="H64" i="3" a="1"/>
  <c r="H64" i="3" s="1"/>
  <c r="L63" i="3" a="1"/>
  <c r="L63" i="3" s="1"/>
  <c r="K63" i="3" a="1"/>
  <c r="K63" i="3" s="1"/>
  <c r="J63" i="3" a="1"/>
  <c r="J63" i="3" s="1"/>
  <c r="I63" i="3" a="1"/>
  <c r="I63" i="3" s="1"/>
  <c r="H63" i="3" a="1"/>
  <c r="H63" i="3" s="1"/>
  <c r="L62" i="3" a="1"/>
  <c r="L62" i="3" s="1"/>
  <c r="K62" i="3" a="1"/>
  <c r="K62" i="3" s="1"/>
  <c r="J62" i="3" a="1"/>
  <c r="J62" i="3" s="1"/>
  <c r="I62" i="3" a="1"/>
  <c r="I62" i="3" s="1"/>
  <c r="H62" i="3" a="1"/>
  <c r="H62" i="3" s="1"/>
  <c r="L61" i="3" a="1"/>
  <c r="L61" i="3" s="1"/>
  <c r="K61" i="3" a="1"/>
  <c r="K61" i="3" s="1"/>
  <c r="J61" i="3" a="1"/>
  <c r="J61" i="3" s="1"/>
  <c r="I61" i="3" a="1"/>
  <c r="I61" i="3" s="1"/>
  <c r="L60" i="3" a="1"/>
  <c r="L60" i="3" s="1"/>
  <c r="K60" i="3"/>
  <c r="K60" i="3" a="1"/>
  <c r="J60" i="3" a="1"/>
  <c r="J60" i="3" s="1"/>
  <c r="I60" i="3" a="1"/>
  <c r="I60" i="3" s="1"/>
  <c r="H60" i="3" a="1"/>
  <c r="H60" i="3" s="1"/>
  <c r="L59" i="3" a="1"/>
  <c r="L59" i="3" s="1"/>
  <c r="K59" i="3" a="1"/>
  <c r="K59" i="3" s="1"/>
  <c r="J59" i="3" a="1"/>
  <c r="J59" i="3" s="1"/>
  <c r="I59" i="3" a="1"/>
  <c r="I59" i="3" s="1"/>
  <c r="H59" i="3" a="1"/>
  <c r="H59" i="3" s="1"/>
  <c r="L58" i="3" a="1"/>
  <c r="L58" i="3" s="1"/>
  <c r="K58" i="3" a="1"/>
  <c r="K58" i="3" s="1"/>
  <c r="J58" i="3" a="1"/>
  <c r="J58" i="3" s="1"/>
  <c r="I58" i="3" a="1"/>
  <c r="I58" i="3" s="1"/>
  <c r="H58" i="3" a="1"/>
  <c r="H58" i="3" s="1"/>
  <c r="L57" i="3" a="1"/>
  <c r="L57" i="3" s="1"/>
  <c r="K57" i="3" a="1"/>
  <c r="K57" i="3" s="1"/>
  <c r="J57" i="3" a="1"/>
  <c r="J57" i="3" s="1"/>
  <c r="I57" i="3" a="1"/>
  <c r="I57" i="3" s="1"/>
  <c r="H57" i="3" a="1"/>
  <c r="H57" i="3" s="1"/>
  <c r="L56" i="3" a="1"/>
  <c r="L56" i="3" s="1"/>
  <c r="K56" i="3" a="1"/>
  <c r="K56" i="3" s="1"/>
  <c r="J56" i="3" a="1"/>
  <c r="J56" i="3" s="1"/>
  <c r="I56" i="3" a="1"/>
  <c r="I56" i="3" s="1"/>
  <c r="H56" i="3" a="1"/>
  <c r="H56" i="3" s="1"/>
  <c r="L55" i="3" a="1"/>
  <c r="L55" i="3" s="1"/>
  <c r="K55" i="3" a="1"/>
  <c r="K55" i="3" s="1"/>
  <c r="J55" i="3" a="1"/>
  <c r="J55" i="3" s="1"/>
  <c r="I55" i="3" a="1"/>
  <c r="I55" i="3" s="1"/>
  <c r="H55" i="3" a="1"/>
  <c r="H55" i="3" s="1"/>
  <c r="L54" i="3" a="1"/>
  <c r="L54" i="3" s="1"/>
  <c r="K54" i="3" a="1"/>
  <c r="K54" i="3" s="1"/>
  <c r="J54" i="3" a="1"/>
  <c r="J54" i="3" s="1"/>
  <c r="I54" i="3" a="1"/>
  <c r="I54" i="3" s="1"/>
  <c r="H54" i="3" a="1"/>
  <c r="H54" i="3" s="1"/>
  <c r="L53" i="3" a="1"/>
  <c r="L53" i="3" s="1"/>
  <c r="K53" i="3" a="1"/>
  <c r="K53" i="3" s="1"/>
  <c r="J53" i="3" a="1"/>
  <c r="J53" i="3" s="1"/>
  <c r="I53" i="3" a="1"/>
  <c r="I53" i="3" s="1"/>
  <c r="H53" i="3" a="1"/>
  <c r="H53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K51" i="3" a="1"/>
  <c r="K51" i="3" s="1"/>
  <c r="J51" i="3" a="1"/>
  <c r="J51" i="3" s="1"/>
  <c r="I51" i="3" a="1"/>
  <c r="I51" i="3" s="1"/>
  <c r="L50" i="3" a="1"/>
  <c r="L50" i="3" s="1"/>
  <c r="K50" i="3" a="1"/>
  <c r="K50" i="3" s="1"/>
  <c r="J50" i="3" a="1"/>
  <c r="J50" i="3" s="1"/>
  <c r="I50" i="3" a="1"/>
  <c r="I50" i="3" s="1"/>
  <c r="H50" i="3" a="1"/>
  <c r="H50" i="3" s="1"/>
  <c r="L49" i="3" a="1"/>
  <c r="L49" i="3" s="1"/>
  <c r="K49" i="3" a="1"/>
  <c r="K49" i="3" s="1"/>
  <c r="J49" i="3" a="1"/>
  <c r="J49" i="3" s="1"/>
  <c r="I49" i="3" a="1"/>
  <c r="I49" i="3" s="1"/>
  <c r="H49" i="3" a="1"/>
  <c r="H49" i="3" s="1"/>
  <c r="L48" i="3" a="1"/>
  <c r="L48" i="3" s="1"/>
  <c r="J48" i="3" a="1"/>
  <c r="J48" i="3" s="1"/>
  <c r="I48" i="3" a="1"/>
  <c r="I48" i="3" s="1"/>
  <c r="L47" i="3" a="1"/>
  <c r="L47" i="3" s="1"/>
  <c r="K47" i="3" a="1"/>
  <c r="K47" i="3" s="1"/>
  <c r="J47" i="3" a="1"/>
  <c r="J47" i="3" s="1"/>
  <c r="I47" i="3" a="1"/>
  <c r="I47" i="3" s="1"/>
  <c r="H47" i="3" a="1"/>
  <c r="H47" i="3" s="1"/>
  <c r="L46" i="3" a="1"/>
  <c r="L46" i="3" s="1"/>
  <c r="K46" i="3" a="1"/>
  <c r="K46" i="3" s="1"/>
  <c r="J46" i="3" a="1"/>
  <c r="J46" i="3" s="1"/>
  <c r="I46" i="3" a="1"/>
  <c r="I46" i="3" s="1"/>
  <c r="L45" i="3" a="1"/>
  <c r="L45" i="3" s="1"/>
  <c r="K45" i="3" a="1"/>
  <c r="K45" i="3" s="1"/>
  <c r="J45" i="3" a="1"/>
  <c r="J45" i="3" s="1"/>
  <c r="I45" i="3" a="1"/>
  <c r="I45" i="3" s="1"/>
  <c r="H45" i="3" a="1"/>
  <c r="H45" i="3" s="1"/>
  <c r="L44" i="3" a="1"/>
  <c r="L44" i="3" s="1"/>
  <c r="K44" i="3" a="1"/>
  <c r="K44" i="3" s="1"/>
  <c r="J44" i="3" a="1"/>
  <c r="J44" i="3" s="1"/>
  <c r="I44" i="3" a="1"/>
  <c r="I44" i="3" s="1"/>
  <c r="H44" i="3" a="1"/>
  <c r="H44" i="3" s="1"/>
  <c r="L43" i="3" a="1"/>
  <c r="L43" i="3" s="1"/>
  <c r="K43" i="3" a="1"/>
  <c r="K43" i="3" s="1"/>
  <c r="J43" i="3" a="1"/>
  <c r="J43" i="3" s="1"/>
  <c r="I43" i="3" a="1"/>
  <c r="I43" i="3" s="1"/>
  <c r="H43" i="3" a="1"/>
  <c r="H43" i="3" s="1"/>
  <c r="L42" i="3" a="1"/>
  <c r="L42" i="3" s="1"/>
  <c r="K42" i="3" a="1"/>
  <c r="K42" i="3" s="1"/>
  <c r="J42" i="3" a="1"/>
  <c r="J42" i="3" s="1"/>
  <c r="I42" i="3" a="1"/>
  <c r="I42" i="3" s="1"/>
  <c r="H42" i="3" a="1"/>
  <c r="H42" i="3" s="1"/>
  <c r="L41" i="3" a="1"/>
  <c r="L41" i="3" s="1"/>
  <c r="K41" i="3" a="1"/>
  <c r="K41" i="3" s="1"/>
  <c r="J41" i="3" a="1"/>
  <c r="J41" i="3" s="1"/>
  <c r="I41" i="3" a="1"/>
  <c r="I41" i="3" s="1"/>
  <c r="H41" i="3" a="1"/>
  <c r="H41" i="3" s="1"/>
  <c r="L40" i="3" a="1"/>
  <c r="L40" i="3" s="1"/>
  <c r="K40" i="3" a="1"/>
  <c r="K40" i="3" s="1"/>
  <c r="J40" i="3" a="1"/>
  <c r="J40" i="3" s="1"/>
  <c r="I40" i="3" a="1"/>
  <c r="I40" i="3" s="1"/>
  <c r="H40" i="3" a="1"/>
  <c r="H40" i="3" s="1"/>
  <c r="L39" i="3" a="1"/>
  <c r="L39" i="3" s="1"/>
  <c r="K39" i="3" a="1"/>
  <c r="K39" i="3" s="1"/>
  <c r="I39" i="3" a="1"/>
  <c r="I39" i="3" s="1"/>
  <c r="H39" i="3" a="1"/>
  <c r="H39" i="3" s="1"/>
  <c r="L38" i="3" a="1"/>
  <c r="L38" i="3" s="1"/>
  <c r="K38" i="3" a="1"/>
  <c r="K38" i="3" s="1"/>
  <c r="J38" i="3" a="1"/>
  <c r="J38" i="3" s="1"/>
  <c r="H38" i="3" a="1"/>
  <c r="H38" i="3" s="1"/>
  <c r="L37" i="3" a="1"/>
  <c r="L37" i="3" s="1"/>
  <c r="K37" i="3"/>
  <c r="K37" i="3" a="1"/>
  <c r="J37" i="3" a="1"/>
  <c r="J37" i="3" s="1"/>
  <c r="I37" i="3" a="1"/>
  <c r="I37" i="3" s="1"/>
  <c r="H37" i="3" a="1"/>
  <c r="H37" i="3" s="1"/>
  <c r="L36" i="3" a="1"/>
  <c r="L36" i="3" s="1"/>
  <c r="K36" i="3" a="1"/>
  <c r="K36" i="3" s="1"/>
  <c r="J36" i="3" a="1"/>
  <c r="J36" i="3" s="1"/>
  <c r="L35" i="3" a="1"/>
  <c r="L35" i="3" s="1"/>
  <c r="K35" i="3" a="1"/>
  <c r="K35" i="3" s="1"/>
  <c r="J35" i="3" a="1"/>
  <c r="J35" i="3" s="1"/>
  <c r="I35" i="3" a="1"/>
  <c r="I35" i="3" s="1"/>
  <c r="H35" i="3" a="1"/>
  <c r="H35" i="3" s="1"/>
  <c r="L34" i="3" a="1"/>
  <c r="L34" i="3" s="1"/>
  <c r="K34" i="3" a="1"/>
  <c r="K34" i="3" s="1"/>
  <c r="J34" i="3" a="1"/>
  <c r="J34" i="3" s="1"/>
  <c r="H34" i="3" a="1"/>
  <c r="H34" i="3" s="1"/>
  <c r="L33" i="3" a="1"/>
  <c r="L33" i="3" s="1"/>
  <c r="K33" i="3" a="1"/>
  <c r="K33" i="3" s="1"/>
  <c r="J33" i="3" a="1"/>
  <c r="J33" i="3" s="1"/>
  <c r="I33" i="3" a="1"/>
  <c r="I33" i="3" s="1"/>
  <c r="L32" i="3" a="1"/>
  <c r="L32" i="3" s="1"/>
  <c r="K32" i="3" a="1"/>
  <c r="K32" i="3" s="1"/>
  <c r="J32" i="3" a="1"/>
  <c r="J32" i="3" s="1"/>
  <c r="K31" i="3" a="1"/>
  <c r="K31" i="3" s="1"/>
  <c r="J31" i="3" a="1"/>
  <c r="J31" i="3" s="1"/>
  <c r="I31" i="3" a="1"/>
  <c r="I31" i="3" s="1"/>
  <c r="L30" i="3" a="1"/>
  <c r="L30" i="3" s="1"/>
  <c r="K30" i="3" a="1"/>
  <c r="K30" i="3" s="1"/>
  <c r="J30" i="3" a="1"/>
  <c r="J30" i="3" s="1"/>
  <c r="I30" i="3" a="1"/>
  <c r="I30" i="3" s="1"/>
  <c r="H30" i="3" a="1"/>
  <c r="H30" i="3" s="1"/>
  <c r="L29" i="3" a="1"/>
  <c r="L29" i="3" s="1"/>
  <c r="H29" i="3" a="1"/>
  <c r="H29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L27" i="3" a="1"/>
  <c r="L27" i="3" s="1"/>
  <c r="K27" i="3" a="1"/>
  <c r="K27" i="3" s="1"/>
  <c r="I27" i="3" a="1"/>
  <c r="I27" i="3" s="1"/>
  <c r="K26" i="3" a="1"/>
  <c r="K26" i="3" s="1"/>
  <c r="J26" i="3" a="1"/>
  <c r="J26" i="3" s="1"/>
  <c r="I26" i="3" a="1"/>
  <c r="I26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L23" i="3" a="1"/>
  <c r="L23" i="3" s="1"/>
  <c r="K23" i="3" a="1"/>
  <c r="K23" i="3" s="1"/>
  <c r="J23" i="3" a="1"/>
  <c r="J23" i="3" s="1"/>
  <c r="I23" i="3" a="1"/>
  <c r="I23" i="3" s="1"/>
  <c r="L22" i="3" a="1"/>
  <c r="L22" i="3" s="1"/>
  <c r="K22" i="3" a="1"/>
  <c r="K22" i="3" s="1"/>
  <c r="J22" i="3" a="1"/>
  <c r="J22" i="3" s="1"/>
  <c r="I22" i="3" a="1"/>
  <c r="I22" i="3" s="1"/>
  <c r="L21" i="3" a="1"/>
  <c r="L21" i="3" s="1"/>
  <c r="K21" i="3" a="1"/>
  <c r="K21" i="3" s="1"/>
  <c r="J21" i="3" a="1"/>
  <c r="J21" i="3" s="1"/>
  <c r="L20" i="3" a="1"/>
  <c r="L20" i="3" s="1"/>
  <c r="K20" i="3" a="1"/>
  <c r="K20" i="3" s="1"/>
  <c r="J20" i="3" a="1"/>
  <c r="J20" i="3" s="1"/>
  <c r="I20" i="3" a="1"/>
  <c r="I20" i="3" s="1"/>
  <c r="H20" i="3" a="1"/>
  <c r="H20" i="3" s="1"/>
  <c r="L19" i="3" a="1"/>
  <c r="L19" i="3" s="1"/>
  <c r="K19" i="3" a="1"/>
  <c r="K19" i="3" s="1"/>
  <c r="J19" i="3" a="1"/>
  <c r="J19" i="3" s="1"/>
  <c r="I19" i="3" a="1"/>
  <c r="I19" i="3" s="1"/>
  <c r="H19" i="3" a="1"/>
  <c r="H19" i="3" s="1"/>
  <c r="L18" i="3" a="1"/>
  <c r="L18" i="3" s="1"/>
  <c r="K18" i="3" a="1"/>
  <c r="K18" i="3" s="1"/>
  <c r="J18" i="3" a="1"/>
  <c r="J18" i="3" s="1"/>
  <c r="I18" i="3" a="1"/>
  <c r="I18" i="3" s="1"/>
  <c r="H18" i="3" a="1"/>
  <c r="H18" i="3" s="1"/>
  <c r="K17" i="3" a="1"/>
  <c r="K17" i="3" s="1"/>
  <c r="J17" i="3" a="1"/>
  <c r="J17" i="3" s="1"/>
  <c r="I17" i="3" a="1"/>
  <c r="I17" i="3" s="1"/>
  <c r="L16" i="3" a="1"/>
  <c r="L16" i="3" s="1"/>
  <c r="K16" i="3" a="1"/>
  <c r="K16" i="3" s="1"/>
  <c r="J16" i="3" a="1"/>
  <c r="J16" i="3" s="1"/>
  <c r="I16" i="3" a="1"/>
  <c r="I16" i="3" s="1"/>
  <c r="H16" i="3" a="1"/>
  <c r="H16" i="3" s="1"/>
  <c r="K15" i="3" a="1"/>
  <c r="K15" i="3" s="1"/>
  <c r="J15" i="3" a="1"/>
  <c r="J15" i="3" s="1"/>
  <c r="I15" i="3" a="1"/>
  <c r="I15" i="3" s="1"/>
  <c r="H15" i="3" a="1"/>
  <c r="H15" i="3" s="1"/>
  <c r="L14" i="3" a="1"/>
  <c r="L14" i="3" s="1"/>
  <c r="K14" i="3" a="1"/>
  <c r="K14" i="3" s="1"/>
  <c r="I14" i="3" a="1"/>
  <c r="I14" i="3" s="1"/>
  <c r="L13" i="3" a="1"/>
  <c r="L13" i="3" s="1"/>
  <c r="J13" i="3" a="1"/>
  <c r="J13" i="3" s="1"/>
  <c r="L12" i="3" a="1"/>
  <c r="L12" i="3" s="1"/>
  <c r="J12" i="3" a="1"/>
  <c r="J12" i="3" s="1"/>
  <c r="I12" i="3" a="1"/>
  <c r="I12" i="3" s="1"/>
  <c r="H12" i="3" a="1"/>
  <c r="H12" i="3" s="1"/>
  <c r="L11" i="3" a="1"/>
  <c r="L11" i="3" s="1"/>
  <c r="K11" i="3" a="1"/>
  <c r="K11" i="3" s="1"/>
  <c r="J11" i="3" a="1"/>
  <c r="J11" i="3" s="1"/>
  <c r="I11" i="3" a="1"/>
  <c r="I11" i="3" s="1"/>
  <c r="L10" i="3" a="1"/>
  <c r="L10" i="3" s="1"/>
  <c r="K10" i="3" a="1"/>
  <c r="K10" i="3" s="1"/>
  <c r="J10" i="3" a="1"/>
  <c r="J10" i="3" s="1"/>
  <c r="H10" i="3" a="1"/>
  <c r="H10" i="3" s="1"/>
  <c r="L9" i="3" a="1"/>
  <c r="L9" i="3" s="1"/>
  <c r="K9" i="3" a="1"/>
  <c r="K9" i="3" s="1"/>
  <c r="J9" i="3" a="1"/>
  <c r="J9" i="3" s="1"/>
  <c r="I9" i="3" a="1"/>
  <c r="I9" i="3" s="1"/>
  <c r="L8" i="3" a="1"/>
  <c r="L8" i="3" s="1"/>
  <c r="K8" i="3" a="1"/>
  <c r="K8" i="3" s="1"/>
  <c r="J8" i="3" a="1"/>
  <c r="J8" i="3" s="1"/>
  <c r="L7" i="3" a="1"/>
  <c r="L7" i="3" s="1"/>
  <c r="K7" i="3" a="1"/>
  <c r="K7" i="3" s="1"/>
  <c r="I7" i="3" a="1"/>
  <c r="I7" i="3" s="1"/>
  <c r="L6" i="3" a="1"/>
  <c r="L6" i="3" s="1"/>
  <c r="K6" i="3" a="1"/>
  <c r="K6" i="3" s="1"/>
  <c r="J6" i="3" a="1"/>
  <c r="J6" i="3" s="1"/>
  <c r="L5" i="3" a="1"/>
  <c r="L5" i="3" s="1"/>
  <c r="J5" i="3" a="1"/>
  <c r="J5" i="3" s="1"/>
  <c r="H5" i="3" a="1"/>
  <c r="H5" i="3" s="1"/>
  <c r="L4" i="3" a="1"/>
  <c r="L4" i="3" s="1"/>
  <c r="K4" i="3" a="1"/>
  <c r="K4" i="3" s="1"/>
  <c r="I4" i="3" a="1"/>
  <c r="I4" i="3" s="1"/>
  <c r="H4" i="3" a="1"/>
  <c r="H4" i="3" s="1"/>
  <c r="L3" i="3" a="1"/>
  <c r="L3" i="3" s="1"/>
  <c r="K3" i="3" a="1"/>
  <c r="K3" i="3" s="1"/>
  <c r="J3" i="3" a="1"/>
  <c r="J3" i="3" s="1"/>
  <c r="H3" i="3" a="1"/>
  <c r="H3" i="3" s="1"/>
  <c r="H2" i="3" a="1"/>
  <c r="H2" i="3" s="1"/>
  <c r="J2" i="3" a="1"/>
  <c r="J2" i="3" s="1"/>
  <c r="L2" i="3" a="1"/>
  <c r="L2" i="3" s="1"/>
  <c r="G55" i="3" l="1"/>
  <c r="G71" i="3"/>
  <c r="G44" i="3"/>
  <c r="G24" i="3"/>
  <c r="G12" i="3"/>
  <c r="G60" i="3"/>
  <c r="G69" i="3"/>
  <c r="G82" i="3"/>
  <c r="G91" i="3"/>
  <c r="G86" i="3"/>
  <c r="G49" i="3"/>
  <c r="G37" i="3"/>
  <c r="G54" i="3"/>
  <c r="G57" i="3"/>
  <c r="G59" i="3"/>
  <c r="G63" i="3"/>
  <c r="G65" i="3"/>
  <c r="G18" i="3"/>
  <c r="G74" i="3"/>
  <c r="G45" i="3"/>
  <c r="G89" i="3"/>
  <c r="G92" i="3"/>
  <c r="G76" i="3"/>
  <c r="G88" i="3"/>
  <c r="G50" i="3"/>
  <c r="G62" i="3"/>
  <c r="G30" i="3"/>
  <c r="G73" i="3"/>
  <c r="G43" i="3"/>
  <c r="G53" i="3"/>
  <c r="G67" i="3"/>
  <c r="G80" i="3"/>
  <c r="G20" i="3"/>
  <c r="G41" i="3"/>
  <c r="G87" i="3"/>
  <c r="G72" i="3"/>
  <c r="G68" i="3"/>
  <c r="G83" i="3"/>
  <c r="G42" i="3"/>
  <c r="G58" i="3"/>
  <c r="G70" i="3"/>
  <c r="G81" i="3"/>
  <c r="G52" i="3"/>
  <c r="G64" i="3"/>
  <c r="G79" i="3"/>
  <c r="G9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<sst xmlns="http://schemas.openxmlformats.org/spreadsheetml/2006/main" count="296" uniqueCount="196">
  <si>
    <t>중분류명</t>
  </si>
  <si>
    <t>NPD 총 상품수</t>
  </si>
  <si>
    <t>매출 80% 견인 NPD 수</t>
  </si>
  <si>
    <t>파레토 핵심 상품 비율(%)</t>
  </si>
  <si>
    <t>카테고리 총 1개월 매출</t>
  </si>
  <si>
    <t>도시락</t>
  </si>
  <si>
    <t>한도초과)의성마늘햄&amp;고추장불고기, 그린)맛장우맛자랑 반반제육, 그린)뷔페한상 11찬도시락, 한도초과)기사식당 바싹불고기, 롯데)7찬도시락, 한도초과)고민할필요없는도시락, 롯데)탱글쏘야&amp;불고기도시락, 총동원)그릴리직화후랑크&amp;제육도시락, 한도초과)바싹불고기&amp;함박도시락, 롯데)고기(肉)올인원도시락, 그린)디지게매운등심돈까스(디진다맛), 롯데)안유성명장 마늘갈비정식, 롯데)11찬도시락, 롯데)흑돼지고추장불고기도시락, 롯데)가득담은5찬도시락, 롯데)맛장우맛자랑 부대볶음, 이정후)멘치카츠&amp;미트홈런볼, 롯데)미노리키친규동, 롯데)최강록의간장들기름비빔밥, 롯데)밥먹자얘들아, 롯데)제주흑돼지불백도시락, 롯데)맛장우맛자랑 로스트치킨, 롯데)안유성명장 치킨난반정식, 맛제일)오리불고기&amp;왕교자도시락, 롯데)식사이론 제육열무비빔밥, 롯데)함박&amp;부대볶음 5찬도시락, 그린)고소치킨마요덮밥, 롯데)깐부도시락(깐풍기&amp;마파두부)</t>
  </si>
  <si>
    <t>김밥</t>
  </si>
  <si>
    <t>그린)참치김치볶음밥김밥, 한도초과)숯불향가득불고기김밥, 그린)울진대게딱지장김밥, 그린)새우튀김김밥, 롯데)반반김밥_돈까스&amp;제육, 한도초과)폭풍햄가득참치김밥, 롯데)맛장우김밥참치크래미, 총동원)그릴리직화소시지김밥, 롯데)에그마요묵은지김밥, 그린)전주비빔듬뿍김밥, 롯데)뽀드득통소시지김밥, 롯데)제주흑돼지김밥, 그린)스팸마요계란김밥, 롯데)저당소고기고추장김밥, 롯데)닭강정김밥, 그린)스팸김치볶음김밥, 그린)반반김밥_양념&amp;마늘치킨, 맛제일)콘치즈떡갈비김밥, 그린)디지게매운돈까스김밥(눈물맛), 롯데)매콤어묵듬뿍김밥, 그린)더꽉찬돈까스김밥, 롯데)참치김밥, 롯데)맛장우김밥매콤제육, 그린)기본김밥, 롯데)한입쏙!들기름김밥</t>
  </si>
  <si>
    <t>비스킷류</t>
  </si>
  <si>
    <t>롯데)아몬드빼빼로37g(테디베어), 롯데)초코필드빼빼로53g(테디베어), 롯데)초코빼빼로54g(테디베어), G)슈가버터샌드트리10입, 롯데)빼빼로말차37g(청수당), 롯데)빈츠프리미어말차102g, 롯데)아몬드8갑(스키즈25년), 1테디베어)빼빼로8입기획, 3테디베어)빼빼로4입기획, 롯데)크런키8갑(스키즈25년), 롯데)초코8갑(티니핑25년), 해태)에이스샌드말차맛68g, 롯데)프리미엄몽쉘말차딸기216g, 롯데)화이트쿠키8갑(티니핑25년), 해태)홈런볼메론우유맛49g, 롯데)빼빼로자이언츠기획(2입), 롯데)가나프리미엄랑드샤말차쇼콜라91g, G)컨트리맘꿀고구마맛12입, 롯데)찰떡파이고창꿀고구마250g, 롯데)마가렛트고창꿀고구마176g, 롯데)빈츠말차102g(청수당), 1테디베어)인형키링기획, 롯데)빈츠고창꿀고구마102g, 오리온)마켓오크림치즈브라우니12P, 롯데)빼빼로인절미팥빙수맛37g, 2산리오)인형키링기획, 여리수)빼빼로6입쇼핑백, 롯데)롯샌멜론105g, 오리온)초코송이딸기45g, 스위트)부르봉블란츌딸기랑그드샤40g ... (외 44개)</t>
  </si>
  <si>
    <t>삼각김밥</t>
  </si>
  <si>
    <t>롯데)NEW참치마요네즈삼각, 롯데)삼겹살김치볶음밥삼각, 그린)더커진짜계치삼각김밥, 롯데)더커진묵은지참치마요, 현대)맛다시참치마요에그말이, 이정후)불고기김치볶음밥삼각, 롯데)맛장우삼각더커진비빔참치, 그린)스팸계란마요삼각, 롯데)소고기전주비빔삼각김밥, 좀비딸)로스팜마요계란볶음밥삼각, 현대)더커진맛다시참치마요, 그린)치킨마요에그말이, 맛제일)스팸마요계란볶음밥, 총동원)더커진고추참치김치삼각, 롯데)티처스빠다장조림삼각, 롯데)맛장우삼각더커진전주비빔, 그린)이건못참치~!삼각, 롯데)최강록의소보로삼각, 그린)명란마요삼각김밥, 맛제일)남도떡갈비삼각, 롯데)미미미누숯불치킨판독기삼각, 롯데)미노리키친간장닭삼각, 그린)불닭콘치즈퐁듀삼각</t>
  </si>
  <si>
    <t>샌드위치</t>
  </si>
  <si>
    <t>롯데)대만식햄치즈샌드위치, 삼립)프리미엄햄에그샌드, 롯데)대만식딸기샌드, 롯데)최강록의로스팜에그샌드, 그린)햄듬뿍치즈샌드, 한도초과)아삭아삭햄야채샌드, 롯데)인가샌드위치, 롯데)리얼소프트에그샌드, 그린)치킨텐더샌드, 롯데)뚠뚠참치&amp;에그샌드, 그린)크랜베리치킨샌드, 롯데)뚠뚠치킨&amp;에그샌드, 그린)전남친샌드, 딸기키티)딸기샌드위치, 롯데)리얼소프트햄샌드, 롯데)인가샌드위치, 삼립)로만밀포테이토햄샌드, 그린)게맛있는샌드, 삼립)뽀득소시지에그샌드, 롯데)리얼소프트햄&amp;에그샌드, 롯데)참치인가샌드위치, 롯데)케이준치킨&amp;햄샌드, 롯데)스리라차치킨샌드, 롯데)햄참치샐러드샌드, 롯데)햄치즈에그토스트샌드</t>
  </si>
  <si>
    <t>간식빵</t>
  </si>
  <si>
    <t>KBO)롯데자이언츠거인단팥빵100g, KBO)롯데자이언츠씨앗호떡빵97g, KBO)기아타이거즈호랑이초코롤85g, KBO)LG트윈스쌍둥이딸기샌드99g, KBO)롯데자이언츠바다샌드크림빵96g, KBO)삼성라이온즈블루베리패스츄리100g, KBO)두산베어스곰발바닥꿀빵95g, KBO)KT위즈빅또리초코바닐라샌드60g, KBO)한화이글스핫투움바브레드90g, KBO)롯데자이언츠도라야끼빵70g, KBO)SSG랜더스소금버터우주선빵85g, KBO)키움히어로즈자색고구마팡100g, KBO)NC다이노스공룡알흑임자컵케익130g, 엔제이)훈와리스팀케이크카스타드, 삼립)잘익은흑임자이야기110g, 삼립)프로H.통밀땅콩샌드(5입)100g, 삼립)미각우유연유카스테라롤128g, 삼립)주종발효초코크림소보루85g, 삼립)미각카이막꿀치즈케익100g, 삼립)탕종상큼딸기샌드95g, 롯데)가나쇼콜라카스테라120g, 제스트)도쿄브레드교토우지말차빵, PB)New브리오슈단팥빵125g, 제스트)도쿄브레드까망베르치즈빵, 삼립)주종발효완듀앙금소보루95g, 삼립)주종발효카스타드크림빵105g, PB)바밤바알밤크림빵110g, 삼립)미각아몬드초코브레드90g, 딸기키티)딸기크림치즈패스츄리100g, 롯데)꿀고구마패스트리90g ... (외 31개)</t>
  </si>
  <si>
    <t>스낵류</t>
  </si>
  <si>
    <t>농심)메론킥60g, PB)자이언츠돌아온팅클초코맛60g, 농심)먹태깡고추장마요60g, 농심)와사비새우깡70g, 오리온)눈을감자칠리치즈프라이즈, 오리온)스윙칩고수타코맛50g, PB)자이언츠피카츄냐냐71g, PB)자이언츠새로온팅클메론맛60g, 해태)생생감자칩바질페스토피자맛55g, MQ)프링글스양파맛70g, 오리온)포카칩트리플페퍼60g, PB)허니바나나맛HBMchips72g, 해태)자가비사워크림맛45g, 해태)구운버터옥수수60g, PB)자이언츠육각꼬깔콘고소한맛134g, 농심)포테토칩K양념치킨맛50g, PB)자이언츠육각꼬깔콘군옥수수맛134g, 오리온)무뚝뚝감자칩올리브앤솔트52g, MQ)프링글스스윗어니언100g, 농심)클레오파트라솔트앤김50g, 오뚜기)콘크림스프크리스피롤55g, 오리온)꼬북칩양념치킨맛68g, 롯데)도리토스플레이밍핫70g, PB)최강록의리얼웨지감자45g, 해태)구운양파명랑핫도그맛110g, 매크로)레이즈트러플50g, 크라운)비엔나야채타임60g, 오리온)꼬북칩후라이드치킨맛76g, 해태)자가비밀크쉐이크맛45g, 매크로)레이즈씨위드(김맛)50g ... (외 26개)</t>
  </si>
  <si>
    <t>초콜릿</t>
  </si>
  <si>
    <t>딸기키티)초코에빠진딸기60g, PB)수건모양초코마시멜로100g, 스위트)부르봉알포트미니코이베리60g, 마즈)트윅스솔티드카라멜50g, G)치로루초코초코모찌35g, PB)바밤바알밤초콜릿16g, 롯데)가나초코바자이언츠기획(4입), 스위트)알포트카카오사브레52g, G)치로루초코인절미모찌35g, 롯데)프리미엄가나밤카라멜68g, 롯데)아몬드초코볼말차46g(청수당), G)LOOK초콜릿딸기복숭아46g, 스위트)부르봉그루터기초코비스킷66g, PB)젤리초코볼샤인머스켓42g, 초코텍)퍼지초코100g, 고운벗)스노우생초코레트오리지널32g, 스위트)알포트미니몽블랑초콜릿55g, 롯데)프리미엄가나사과피넛버터68g, 드림)시크릿주토피아2, 스위트)알포트미니메론초콜릿60g, 네슬레)킷캣청키로투스, 마즈)스니커즈스트로베리40g, G)치로루초코솔티바닐라33g, PB)젤리초코볼오렌지42g, 6스위트)알포트미니사브레초콜릿50g, 롯데)드림카카오82% 86g, 고운벗)스노우생초코레트말차맛32g, 롯데)프리미엄가나베리무스케익, 농심)린도볼밀크기프트(3입), G)치로루초코커피젤리42g ... (외 30개)</t>
  </si>
  <si>
    <t>햄버거</t>
  </si>
  <si>
    <t>롯데)골드후라이드치킨버거3.0, 삼립)시티델리직화그릴모짜렐라버거, 그린)울트라트리플치즈버거, 그린)숯불치킨데리버거, 삼립)NEW상하이스파이시버거, 롯데)필리치즈스테이크버거, 삼립)메가불고기에그버거, 롯데)더블치킨버거, 한도초과)몬스터3단버거, 롯데)칠리불새버거, 그린)머쉬룸투움바비프버거, 삼립)메가불고기스파이시버거, 이정후)더블클래식버거, 삼립)로만밀햄치즈에그머핀, 삼립)아메리칸베이컨체다버거, 삼립)더블불고기투움바버거, 그린)울트라트리플치즈버거2, 그린)촵촵스테이크버거, 그린)K불고기버거, 총동원)통그릴참치핫도그, 이정후)치즈폭탄버거, 롯데)티처스맵닭치킨치즈버거, 한도초과)몬스터3단치킨버거</t>
  </si>
  <si>
    <t>젤리류</t>
  </si>
  <si>
    <t>일신)캇예스파티프레드175g, 하리보)사운드큐브80g, 유앤)스웨디시스타일젤리(올믹스드업)120g, 농심)츄파춥스젤리사워튜브90g, 유앤)드럼스틱젤리(두가지맛믹스)80g, 스위트)부르봉 페투치니(프루티맛)47g, 하리보)해리포터해리75g, 스위트)트롤리핑구미100g, 일신)캇예스레인보우75g, 하리보)골드배렌펀에디션80g, SF9화보매거진기획set, PKJ)에그푸딩100g, 일신)캇예스프레드페르켈175g, 오리온)코코망고알맹이67g, 훼밀리)포도무케루푸루푸루구미40g, 훼밀리)복숭아무케루푸루푸루구미40g, 마즈)스키틀즈젤리(후르츠믹스), PB)자이언츠쌔리라짱셔요소다믹스맛49g, 오리온)마이구미제로54g, 투데이)스위즐스드럼스틱사우어체리&amp;애플 100g, 오리온)마이구미자몽허니블랙티97g, 롯데)짱셔요스위티자몽46g, 오리온)코코멜론알맹이81g, 투데이)스위즐스드럼스틱버블검 100g, 오리온)핵아이셔젤리깔라만시맛72g, 드림)마치사과같은젤리53g, 스위트)트롤리사워게코90g, G)아모스4D베리믹스구미56g, 드림)젤리밤50g, 몽뜨)동결건조사우어벨트40g ... (외 17개)</t>
  </si>
  <si>
    <t>용기면</t>
  </si>
  <si>
    <t>이스타)도쿠시마라면큰컵, 농심)감자탕큰사발면, G)마루짱모찌우동109g, 오뚜기)콕콕콕땡초크림파스타, 이장우)오일스타알리오올리오, 히밥)럭히밥울트라면볶이(4인분), 농심)농심라면큰컵, 삼양)푸팟퐁커리불닭볶음면큰컵, 오뚜기)컵누들참깨라면소컵, 오뚜기)열치즈라면큰컵, 농심)마라짜파게티큰사발, 삼양)까르보불닭납작당면, 오뚜기)보들보들치즈볶음면매운맛, PB)박은영셰프의유산슬탕면큰컵, 농심)누들핏튀김우동맛, 농심)누들핏새우탕맛, 자이언츠)쌔리라빠지락라면, 오뚜기)컵누들짬뽕맛소컵, 오뚜기)더핫열라면큰컵, 오뚜기)WOW새우진짬뽕컵, 오뚜기)WOW고기열라면컵, 농심)누들핏마라탄탄</t>
  </si>
  <si>
    <t>냉장베이커리</t>
  </si>
  <si>
    <t>롯데)생초코파이59g(냉장), 엠즈)제주에서온말차크림롤105g, 딸기키티)베리베리마카롱75g, 제이탑)큐브쫀득쿠키(초코쿠키)50g, KBO)삼구삼진슈80g, 부창제과)우유니소금크림호두단팥빵110g, PB)바밤바꿀밤생크림빵120g, 벨리)제주에서온말차크림도넛100g, KBO)홈런배트롤150g, 푸드빌)제주에서온말차크림빵110g, 부창제과)우유니소금크림맘모롤95g, 삼립)카이막크림치즈점보롤225g, 제이탑)큐브쫀득쿠키(후르츠)50g, 딸기키티)초코베리모찌롤, 엠즈)39저당초코크림롤105g, 롯데)초코우유크림소금빵120g, 벽돌모양레드벨벳케이크90g, 롯데)크로와상붕어빵80g, 엠즈)39저당딸기크림롤105g, 엠즈)39저당커스터드크림롤105g, 삼립)카이막꿀크림카스테라95g, PB)바밤바버터케익바75g, 엠즈)쫀득라바초코케이크80g, 롯데)바른목장우유크림빵100g, 삼립)닥트리오금빛초코슈80g, 삼립)카이막바스크치즈케익240g, 삼립)끼리레몬크림치즈케익95g, 삼립)프로H.플레인바스크치즈케익68g, 삼립)허쉬바나나미니샌드5입100g, 롯데)바른목장초코우유크림빵100g</t>
  </si>
  <si>
    <t>초밥류</t>
  </si>
  <si>
    <t>롯데)사가지있는유부초밥, 롯데)듬뿍참치유부초밥, 그린)울진대게장유부초밥, 롯데)렌틸콩유부초밥&amp;에그샐러드, 그린)듬뿍크래미유부초밥, 롯데)듬뿍에그유부초밥, 그린)명란마요유부초밥, 그린)춘천식닭갈비유부말이, 총동원)고추참치김치유부초밥, 롯데)크래미와사비캘리포니아롤, 그린)불닭마요유부초밥, 롯데)치킨샐러드캘리포니아롤</t>
  </si>
  <si>
    <t>기능성드링크</t>
  </si>
  <si>
    <t>동아)박카스F120ml10입(판매전용) , 코카)몬스터스트로베리355ml, 동아)박카스F120ml 20입(판매전용) , 코카)몬스터에너지파피용355ml, 동아)얼박사355ml, 동아)모닝케어프레스온H(간), 칠성)핫식스더킹애플홀릭355ml, 칠성)핫식스더킹아이스피치제로355ml, 칠성)핫식스더킹메가제로500ml, K리그)슛!비타민워터레몬340ml, K리그)슛!비타민워터믹스후르츠340ml, 이그니스)랩노쉬프로틴스트로베리350ml, 종근당건강)아임비타에너지샷150ml, HK)컨디션스파클링자몽제로100ml, 이그니스)랩노쉬프로틴코코아350ml, 칠성)핫식스더킹메가파워500ml</t>
  </si>
  <si>
    <t>냉장간식</t>
  </si>
  <si>
    <t>행복담기)동의반숙란2입, CJ)1등급반숙대란2구, CJ)맥스봉진한풍미후랑크65g, 고래사)닭가슴살치즈바80g, CJ)1등급훈제대란2구, 롯데)오리지날프랑크90g, 하림)맛닭가슴살엽떡맛100g, 부창제과)우유니소금크림치즈베이글160g, CJ)맥스봉고소한치즈후랑크65g, 풀무원)고소하고부드럽게구운란75g, 대림)스노우크랩킹140g , 하림)맛닭가슴살새우100g, 한성)와일드크래미쉬림프150g, CJ)맥스봉오리지널70g, 대림)스노우크랩킹버터갈릭140g , 대림)안심닭가슴살(블랙페퍼)100g, 진주햄)천하장사콰트로치즈70g, PB)더블매콤야채땡초바160g, 풀무원)동물복지촉촉란2구(떡볶이소스)105g, 삼진)1953어묵순살바80g(매운맛), 풍림)집대성의바로먹는깐반숙란96g, 삼립)제로닭닭가슴살볼양념치킨120g, CJ)더건강한저당닭가슴살숯불치킨맛120g, CJ)닭가슴살순살청양100g, 훈스)불고기&amp;소시지핫도그145g, 대림)안심닭가슴살(마일드)100g, 삼진)1953어묵순살바80g(야채맛), 훈스)콘버터&amp;소시지핫도그145g, 삼진)1953어묵순살바80g(오징어맛), 삼립)제로닭닭가슴살볼마늘간장120g ... (외 2개)</t>
  </si>
  <si>
    <t>탄산음료</t>
  </si>
  <si>
    <t>코카)코카콜라제로제로500ml, 칠성)펩시콜라제로모히토500ml, 코카)환타멜론600ml, 칠성)칠성사이다제로오렌지500ml, 동서)스타벅스피지오쿨라임400ml, 칠성)밀키스포도500ml , 동서)스타벅스피지오피치딸기400ml, 오츠카)데미소다레드애플350ml, 코카)코카콜라제로490ml, 칠성)마운틴듀제로355ml, 코카)코카콜라490ml, 칠성)칠성사이다제로라임355ml, 엔제이)스콜샤인머스켓 500ml, 이그니스)애사비소다제주감귤500ml, 광동)썬키스트애사비스파클링제로500ml , 엔제이)스콜믹스500ml</t>
  </si>
  <si>
    <t>하이볼</t>
  </si>
  <si>
    <t>앙리마티스)와인볼쇼비뇽블랑500ml캔, 7P)스트롱사와복숭아500ml, 앙리마티스)하트와인볼(로제)500ml캔, 카브루)말차하이볼500ml캔, 세븐브로이)요하볼(요구르트하이볼)500ml캔, 세븐브로이)하이볼에빠진피치500ml캔</t>
  </si>
  <si>
    <t>수입맥주</t>
  </si>
  <si>
    <t>아사히)아사히생맥주캔485ml, 오비)산토리생맥주500ml캔, 아사히)아사히블랙핑크에디션500ml캔, 아사히)아사히블랙핑크에디션500ml캔(6입), 하이트)1664블랑500ml캔(4입), 엠즈)삿포로350ml캔(6입)</t>
  </si>
  <si>
    <t>프로틴 음료</t>
  </si>
  <si>
    <t>오리온)닥터유단백질드링크딸기350ml, 남양)테이크핏몬스터초코바나나350ml, 남양)테이크핏몬스터고소한맛350ml, PB)이정후프로틴초코330ml, 하림)오늘단백초코라떼250ml, PB)이정후프로틴바닐라330ml, 칠성)오트몬드프로틴쿠키앤크림250ml</t>
  </si>
  <si>
    <t>컵커피</t>
  </si>
  <si>
    <t>덴마크)소화가잘되는바닐라라떼250ml, PB)바닐라라떼320ml, 덴마크)소화가잘되는카페라떼250ml, PB)카페라떼320ml, PB)돌체라떼320ml, PB)카라멜라떼320ml, 서울)말차에스프레소200ml, PB)말차라떼250ml, PB)말차딸기라떼250ml, 매일)원데이클래식라떼190ml, PB)테디베어피스타치오라떼250ml</t>
  </si>
  <si>
    <t>요구르트</t>
  </si>
  <si>
    <t>요즘)스트로베리콩포트그릭요거트130g, 요즘)오!그래놀라저당그릭요거트115g, PB)요구르트280ml, 풀무원다논)액티비아딸기150g, 매일)그릭드링크플레인190ml, 빙그레)닥터캡슐복숭아130ml, 구르메)FAGE무지방그릭요거트허니150g, 종근당)락토핏마시는유산균저당130ml, 풀무원다논)액티비아사과150g, 서울)복숭아요구르트750ml, 풀무원)요거톡레몬비스킷머랭126g</t>
  </si>
  <si>
    <t>구움과자</t>
  </si>
  <si>
    <t>삼립)정통크림샌드99g, 엔제이)바움쿠헨메이플50g, 엔제이)바움쿠헨밀크50g, 롯데)가나쇼콜라케이크80g, 삼립)녹차담은초코꾸덕파이70g, 삼립)끼리크림치즈벨기에와플68g, 삼립)달콤바나나파운드145g, 티처스)당충전딥초코와플90g, 삼립)허쉬딥초코머핀100g, 삼립)달콤제주감귤타르트45g, 엔제이)훗카이도밀크초코랑그드샤100g, 삼립)더블딥초코꾸덕파이70g, 롯데)가나헤이즐넛케이크80g, 삼립)허쉬아몬드초코와플68g, 삼립)스윗딸기생크림팬케익(1입), 삼립)초당옥수수미니꿀약과70g, G)스틱휘낭시에치즈39g, 삼립)끼리크림치즈파운드(2입), 삼립)마법의망고생크림팬케익60g, 롯데)이너프바나나&amp;피넛큐브케이크60g, 에이스)경주빵32g, G)스틱휘낭시에초콜릿39g, 롯데)이너프홀그레인큐브케이크60g, 제이탑)우유구겔호프50g, 엔제이)훗카이도멜론딸기랑그드샤100g, 삼립)프로H.호두휘낭시에43g</t>
  </si>
  <si>
    <t>미분류</t>
  </si>
  <si>
    <t>가공우유</t>
  </si>
  <si>
    <t>빙그레)바나나우유무가당240ml, PB)쪼코쪼코초코우유500ml, 남양)말차에몽190ml, PB)분홍분홍딸기우유500ml, 서울)미노스바나나우유235ml, PB)노랑노랑바나나우유500ml, PB)콩닥콩닥커피우유500ml, 매일)바나나는원래맛있다190ml</t>
  </si>
  <si>
    <t>차음료</t>
  </si>
  <si>
    <t>태항)붉은빛의우롱티500ml, 태항)봄날의그린티500ml, 하이트)블랙보리누룽지520ml, 동서)스타벅스시그니처밀크티325ml, 이노엔)티로그자두아이스티500ml, 이노엔)티로그청포도아이스티500ml, 칠성)솔의눈제로500ml, PB)산리오포차코아망추망고350ml, 이노엔)새싹보리블랙500ml, PB)산리오마이멜로디아샷추복숭아350ml</t>
  </si>
  <si>
    <t>호빵</t>
  </si>
  <si>
    <t>삼립)25년정통단팥호빵(찜기낱개), 삼립)25년정통단팥호빵(4입), 삼립)25년생생야채호빵(찜기낱개), 삼립)25년생생야채호빵(4입), 삼립)25년듬뿍피자호빵(4입), 삼립)피자호빵100g(1입), 삼립)25년꿀고구마호빵(4입), 삼립)25년듬뿍피자호빵(찜기낱개), 삼립)단팥호빵100g(1입), 삼립)25년꿀고구마호빵(찜기낱개)</t>
  </si>
  <si>
    <t>냉장피자</t>
  </si>
  <si>
    <t>KBO)끝내기홈런미트부리또130g, 삼립)NEW불고기치즈부리또115g, MDS)청양크림파스타230g, 삼립)NEW슈퍼슈프림치즈부리또120g, 안유성)나폴리탄파스타230g, 지지푸드)XXL슈퍼슈프림피자190g, 이정후)XXL페이버릿피자, MDS)까르보김치볶음밥200g, MDS)로제햄마카로니콘치즈255g, 지지푸드)XXL치킨불고기피자190g</t>
  </si>
  <si>
    <t xml:space="preserve">샐러드 </t>
  </si>
  <si>
    <t>삼립)비빔닭가슴살메밀면샐러드176g, 삼립)타임핏프로틴치킨샐러드113g, 삼립)스노우리스샐러드139g, 삼립)와우골든텐더치킨샐러드123g, 삼립)와우에그샐러드123g, 삼립)불고기메밀면샐러드175g, 삼립)미국식콥샐러드178g, 삼립)타임핏스모키포크샐러드120g, 삼립)타임핏리코타요거샐러드110g, 삼립)런치킨크랜베리콤보샐러드, 삼립)초계비빔곤약면샐러드130g, PB)촉촉크래미샐러드110g, 삼립)뉴욕식치즈베이글박스샐러드171g, PB)든든에그포테이토샐러드110g, MDS)고구마&amp;단호박샐러드200g, 삼립)런치킨브레스트콤보샐러드, PB)톡톡콘샐러드110g, 삼립)초계겨자곤약면샐러드132g, 스윗)토마토파스타치킨샐러드160g</t>
  </si>
  <si>
    <t>과일</t>
  </si>
  <si>
    <t>냉장안주</t>
  </si>
  <si>
    <t>PB)직화불막창180g, 동원)그릴리직화닭꼬치데리야끼75g, PB)직화뼈없는불닭발200g, 동원)그릴리직화닭꼬치볼케이노75g, 에프투)두레미니족발400g, PB)장충동담백한편육265g, PB)장충동쫄깃한족발265g, 굿지앤)오마카세순살닭갈비볶음200g, PB)장충동고기순대300g, 삼립)씨티델리BBQ치킨&amp;누들불케이노340g, 굿지앤)오마카세직화불껍데기160g</t>
  </si>
  <si>
    <t>푸드 간편식</t>
  </si>
  <si>
    <t>롯데)NEW갈비맛닭강정, 롯데)갈릭버터감자&amp;소시지, 롯데)불닭양념닭강정, 이정후)치즈폭탄토마토파스타, 롯데)포켓델리베지스틱, 롯데)포켓델리햄&amp;포테이토샐러드, 총동원)그릴리직화소시지파스타, 롯데)칼빔면&amp;김치왕교자, 롯데)포켓델리푸실리파스타샐러드, 롯데)포켓델리치킨난반, 롯데)백년가게춘천오수물막국수</t>
  </si>
  <si>
    <t>젤리</t>
  </si>
  <si>
    <t>롯데)파스퇴르우유푸딩135g, 롯데)이지프로틴아르기닌(자몽)150g, 풍림)뵈르뵈르초코딥무스푸딩90g, 풍림)뵈르뵈르멜로망고푸딩90g, 자임)콜라겐젤리애사비130g, MDS)젤리블리사과60g, 풍림)뵈르뵈르엄친딸푸딩90g, 자임)콜라겐젤리복숭아130g, 자임)콜라겐젤리청포도130g, 뚜또)코코포도210g, MDS)젤리블리제로애플망고60g, MDS)젤리블리제로애플샤인60g, MDS)젤리블리제로납작복숭아60g</t>
  </si>
  <si>
    <t>냉장간편식</t>
  </si>
  <si>
    <t>프로틴/시리얼</t>
  </si>
  <si>
    <t>오리온)닥터유에너지바저당50g, PB)이정후프로틴바50g, MQ)켈로그단백질바K50g, 써라클)베노프단백질바(청키초코)50g, MQ)켈로그레드베리에너지바35g, 써라클)베노프단백질바(트러플피넛)50g, PB)이정후프로틴바50g(3입)</t>
  </si>
  <si>
    <t>고급</t>
  </si>
  <si>
    <t>즉석치킨</t>
  </si>
  <si>
    <t>사세)매콤통살꼬치, 최강록의진심)지파이, BIG체다모짜치즈스틱, 옛날통닭한마리, 대왕지파이</t>
  </si>
  <si>
    <t>냉장주스</t>
  </si>
  <si>
    <t>G)차바코코넛스무디310ml, 매일)피크닉천도복숭아240ml, 풀무원)아임리얼100레몬140ml, 위드)유니프그린베지주스200ml, 위드)유니프믹스베리주스200ml, 풀무원)아임리얼100사과140ml, 서울)올데이프룻매실제로250ml, 프레)캐치티니핑워터젤리복숭아맛110ml</t>
  </si>
  <si>
    <t>커피음료</t>
  </si>
  <si>
    <t>동서)스타벅스바닐라(병)281ml, 동서)스타벅스카페베로나블랙275ml, 딸기키티)스트로베리초코라떼275ml, 동서)스타벅스시그니처초콜릿200ml, 동서)TOP배럴에이지드향마일드380ml, 동서)TOP배럴에이지드향볼트380ml</t>
  </si>
  <si>
    <t>파우치</t>
  </si>
  <si>
    <t>태웅)아샷추복숭아제로320ml, 동아제약)얼박_오리지널230ml, 칠성)칸타타아이스블랙커피500ml, 동아제약)얼박_복숭아230ml, 칠성)칸타타헤이즐넛500ml, 동아제약)얼박_샤인머스캣230ml, 태웅)레모나340ml, 칠성)델몬트망고에이드230ml, 대호)밀크커피230ml, 대호)Big블루레몬에이드320ml, 대호)블랙아메리카노230ml</t>
  </si>
  <si>
    <t>주스</t>
  </si>
  <si>
    <t>두유</t>
  </si>
  <si>
    <t>정식품)베지밀고단백두유190ml, 정식품)베지밀말차블렌딩소이(병)190ml, 남양)맛있는두유GT고칼슘검은콩깨팩190ml, 연세)검은콩고칼슘두유190ml, 연세)아몬드잣고소한두유190ml, 에프투)검은콩두유190ml, 매일)두유렌틸콩190ml , 에프투)호두아몬드두유190ml</t>
  </si>
  <si>
    <t>스포츠음료</t>
  </si>
  <si>
    <t>코카)파워에이드제로라임600ml, 칠성)2%레몬라임제로500ml, 링티)레몬라이트500ml</t>
  </si>
  <si>
    <t>봉지면</t>
  </si>
  <si>
    <t>삼양)삼양라면1963봉지, 삼양)삼양라면1963번들, 오뚜기)진라면약간매운맛봉지, 농심)새우탕면봉지, 농심)생생납작떡볶이면, 농심)배홍동칼빔면봉지, 오뚜기)더핫열라면봉지, 팔도)볼케이노까르보나라봉지, 오뚜기)진라면약간매운맛(5입)</t>
  </si>
  <si>
    <t>서울)후레쉬우유900ml, PB)1등급흰우유900ml, 서울)저지방멸균흰우유200ml, 서울)멸균흰우유200ml, 매일)소화가잘되는우유930ml</t>
  </si>
  <si>
    <t>즉석조리</t>
  </si>
  <si>
    <t>쿡인페이퍼)즉석신라면, 쿡인페이퍼)즉석참깨라면, 쿡인페이퍼)즉석너구리, 쿡인페이퍼)즉석진라면순한맛, 쿡인페이퍼)즉석안성탕면, 쿡인페이퍼)즉석진라면매운맛, 쿡인페이퍼)즉석열라면, 쿡인페이퍼)즉석무파마, 쿡인페이퍼)즉석짜파게티, 쿡인페이퍼)즉석오징어짬뽕, 쿡인페이퍼)진라면약간매운맛, 쿡인페이퍼)즉석신라면블랙, 아리)즉석맵탱마늘조개라면</t>
  </si>
  <si>
    <t>가공미반류</t>
  </si>
  <si>
    <t>CJ)햇반전복죽267g, CJ)햇반소고기죽268g, CJ)햇반100%통곡물밥130g, CJ)비비고떡볶이로제108g, CJ)둥근햇반210g*24입, CJ)햇반버섯야채죽268g, CJ)작은햇반130g*3입, 오뚜기)참기름김치볶음컵밥, 오뚜기)햄버그덮밥(컵밥), 동원)양반현미밥130g, CJ)습떡볶이108g, 동원)양반오미밥130g, 동원)양반흑미밥130g, CJ)햇반12곡잡곡밥210g, PB)럭히밥든든미역꾹밥225g, K리그)슛!팅떡볶이(매콤까르보맛), 롯데)진국소고기미역국밥45g, CJ)작은햇반흑미밥130g*3입</t>
  </si>
  <si>
    <t>건강/이너뷰티</t>
  </si>
  <si>
    <t>메드)RU21웨이크업샷20g, 농협홍삼)한삼인멀티비타G홍삼샷30g, 유한)비컴플아르기닌25g, 대웅)간편듀얼원샷30ml, 종근당건강)아임비타아르기닌샷, 유한)비컴플마그네슘25g, 농협홍삼)한삼인잠잠(굿나잇앰플)30g, 동아)모닝케어위솔루션젤리스틱15g, 종근당건강)아임비타글루타치온샷, 대웅)베아듀얼원샷30ml, 메디카)포텐+비타민아르기닌스틱25g</t>
  </si>
  <si>
    <t>전통음료</t>
  </si>
  <si>
    <t>자임)유자레몬티245ml , 자임)허니자몽블랙티245ml , 동원)양반유자제로500ML</t>
  </si>
  <si>
    <t>오징어</t>
  </si>
  <si>
    <t>청정)페스츄리오징어150g, 한양)꽃보다오징어스키니40g, 청정)오늘은오징어120g, 코주부)맛다리20g, 청정)오징어튀김120g, 한양)숏바디버터불고기40g, 한양)명태&amp;오징어숏다리mix35g, PB)말랑촉촉롱다리오징어35g</t>
  </si>
  <si>
    <t>시즌케익</t>
  </si>
  <si>
    <t>예약)홍콩제니쿠키(상온), 예약)홍콩글로리쿠키(상온)</t>
  </si>
  <si>
    <t>생수</t>
  </si>
  <si>
    <t>떡</t>
  </si>
  <si>
    <t>삼립)빚은제주쑥대박찹쌀떡95g, 삼립)빚은제주우유대박찹쌀떡95g, 유라가)푸하하소금우유생크림떡80g, MDS)쫀득쫀똑(고구마)60g, 유라가)푸하하딸기생크림떡80g, 삼립)방앗간기정떡(쑥)95g, 삼립)방앗간기정떡(우유)95g</t>
  </si>
  <si>
    <t>막걸리</t>
  </si>
  <si>
    <t>딸기)알딸막650ml, 더기와)말차막650ml, 서울탁)달밤장수막걸리750ml</t>
  </si>
  <si>
    <t>껌</t>
  </si>
  <si>
    <t>롯데)자일리톨랩워터링껌24g, 롯데)자일리톨랩워터링용기100g, 오리온)졸음싹다깨껌102g, 에이블)메가버블껌12g, 해태)자일리톨아카시아용기90g</t>
  </si>
  <si>
    <t>숙취해소제</t>
  </si>
  <si>
    <t>히말라야)파티스마트소프트츄2입, 히말라야)파티스마트소프트츄망고, 이노엔)컨디션스틱제로샤인머스캣, 서영)모닝이즈백스틱(그린애플)20g</t>
  </si>
  <si>
    <t>육포</t>
  </si>
  <si>
    <t>샘표)질러부드러운우육포(라이트)30g, 샘표)질러클래식육포30g, 동원)상상안심육포30g, 샘표)질러블랙앤레드페퍼육포30g</t>
  </si>
  <si>
    <t>냉동만두</t>
  </si>
  <si>
    <t>오뚜기)참깨찐만두180g, 오뚜기)순후추찐만두180g, PB)김치만두168g, CJ)비비고왕교자315g, CJ)비비고군만두315g, CJ)비비고김치왕교자315g, CJ)비비고찰보리감자만두300g, PB)갈비만두168g, 동원)개성한입쏙고기만두168g</t>
  </si>
  <si>
    <t>조리냉동</t>
  </si>
  <si>
    <t>하림)맥시칸양념치킨순살200g, 하림)맥시칸핫크리스피순살250g, CJ)고메소바바소이허니치킨240g, 오뚜기)순후추닭강정180g, 오뚜기)버팔로봉200g, 하림)맥시칸크리스피순살250g, 하림)맥시칸갈릭양념순살치킨200g, 하림)맥시칸허니버터순살치킨200g, 뵈르뵈르)버터페퍼로니피자163g</t>
  </si>
  <si>
    <t>생선류</t>
  </si>
  <si>
    <t>강고집)바삭구운순살먹태오리지널45g, 사조)빠삭어묵칩오리지널40g, 청정)오늘은쥐포140g, 강고집)바삭구운순살먹태BBQ맛45g, 신화)한입동전쥐포32g, 경진)꾸이맨바삭칩70g, 에이트)벤토불징어맛7g, 일해)와!명태다50g</t>
  </si>
  <si>
    <t>스낵안주</t>
  </si>
  <si>
    <t>농심)야키호타테카이히모(구운가리비)14g, CJ)비비고칩버터오징어40g, 코주부)소고기육포튀김50g, PB)오리지널후라이드닭껍질30g, 한입)게맛살깡오리지널30g, 썬푸드)소칸미역줄기30g, 에이스)와사비치킨아몬드80g</t>
  </si>
  <si>
    <t>소주</t>
  </si>
  <si>
    <t>화요)화요41도375ml, 장민호)호소주375ml, 화요)화요19金375ml, 진로)핵아이셔에이슬360ml병, 선양)선양소주400mlPET, 보해)고마그라제375ml, 특화점)안동소주양반탈45도400ml, 충북)청풍소랜디640ml, APP)화요53%750ml</t>
  </si>
  <si>
    <t>유제품</t>
  </si>
  <si>
    <t>제니코)본가드마블잭스틱치즈28g, 제니코)본가드체다스틱치즈28g, 매일)사르르슈레드치즈25g</t>
  </si>
  <si>
    <t>컨셉카페</t>
  </si>
  <si>
    <t>슬러피(라지), 구슬아이스)싱글컵, 소프트콘)밀크컵, 소프트콘)밀크콘</t>
  </si>
  <si>
    <t>야채</t>
  </si>
  <si>
    <t>CJ)하루낫또 45.5g(2입), CJ)찌개두부 380g, CJ)부침두부 380g, CJ)아삭안심콩나물180g, 풀무원)국산콩두부(찌개용)210g, 풀무원)국산콩두부(부침용)210g, 맑은물에)탱글탱글고단백두부, CJ)유기농콩나물270g, 신선을새롭게)깐양파300g, CJ)고소한순두부 350g</t>
  </si>
  <si>
    <t>신선냉동</t>
  </si>
  <si>
    <t>쨈/꿀</t>
  </si>
  <si>
    <t>에이스)마루와유지크림브륄레130g, 에이스)마루와유지메론빵130g</t>
  </si>
  <si>
    <t>무알콜맥주</t>
  </si>
  <si>
    <t>롯데)클라우드논알콜릭500ml, 오비)카스레몬제로473ml캔, 롯데)클라우드논알콜릭350ml, 티젠)젠하이볼0.0 355ml캔, 티젠)젠하이볼레몬0.0 355ml캔, 오비)카스제로355ml캔(6입)</t>
  </si>
  <si>
    <t>샐러드모닝랩</t>
  </si>
  <si>
    <t>기능성우유</t>
  </si>
  <si>
    <t>칠성)오트몬드초코190ml, CJ)얼티브균형영양식흑임자150mL, CJ)얼티브균형영양식구수한맛150ml</t>
  </si>
  <si>
    <t>상온간편식</t>
  </si>
  <si>
    <t>PB)영양반계탕600g, 오뚜기)육즙가득떡갈비180g, 오뚜기)레드칠리미트볼180g</t>
  </si>
  <si>
    <t>너트류</t>
  </si>
  <si>
    <t>머거본)부창제과호두정과30g, 머거본)피칸정과30g, 글로브)해바라기씨튀김게맛50g</t>
  </si>
  <si>
    <t>냉동간편식</t>
  </si>
  <si>
    <t>PB)이봉원의봉새우볶음밥260g, 안유성)크림카레우동330g, 고래사)부산어묵꼬치446g, PB)베이컨매콤크림파스타280g, 고래사)빨간꼬치어묵&amp;부산물떡616g, PB)중화식얼큰짬뽕300g</t>
  </si>
  <si>
    <t>건해산물</t>
  </si>
  <si>
    <t>광천)소문난광천김15g, PB)바삭김(20입), 광천)소문난광천김5g(9입)</t>
  </si>
  <si>
    <t>식빵</t>
  </si>
  <si>
    <t>삼립)순백우유식빵(6입), 삼립)클래식버터롤(14입)</t>
  </si>
  <si>
    <t>농산안주</t>
  </si>
  <si>
    <t>써라클)영양맛밤50g, 스미)감숙왕밀크초코바나나칩45g, 스미)감숙왕다크초코바나나칩45g, CJ)맛밤(10입)420g</t>
  </si>
  <si>
    <t>차</t>
  </si>
  <si>
    <t>티젠)콤부차요구르트10T, 꽃샘)생강차플러스10입 , 티젠)애플사이다비니거10T, 꽃샘)쌍화차플러스10입</t>
  </si>
  <si>
    <t>홈타입</t>
  </si>
  <si>
    <t>롯데)티코말차, 빙그레)요맘때홈스트로베리710ml, 빙그레)팽이팽이 수박&amp;파인애플 제로</t>
  </si>
  <si>
    <t>소스류</t>
  </si>
  <si>
    <t>대상)저당홍초레몬&amp;라임500ml, 대상)저당홍초레드애플500ml, 농심)신툼바만능소스285g, 대상)프리미엄굴소스280g(튜브), 대상)저당스위트칠리소스250g, 대상)저당비빔면소스270g(튜브), CJ)하선정멸치액젓골드400g, CJ)하프칼로리참깨드레싱</t>
  </si>
  <si>
    <t>커피</t>
  </si>
  <si>
    <t>동서)맥심모카골드제로슈거20T, 동서)맥심모카골드200T(잔망루피기획)</t>
  </si>
  <si>
    <t>캔</t>
  </si>
  <si>
    <t>대상)청정원스위트콘340g, PB)한돈햄200g, 동원)저스트파인애플822g, 동원)라이트참치135g*4입, 동원)저스트후르츠칵테일822g, M_종가집김치160g, 동원)고추참치135g*4입, CJ)스팸라이트200G</t>
  </si>
  <si>
    <t>쌀/잡곡</t>
  </si>
  <si>
    <t>대왕님표 여주자채쌀 10kg, 농부의미소 20kg</t>
  </si>
  <si>
    <t>리쿼</t>
  </si>
  <si>
    <t>원컵</t>
  </si>
  <si>
    <t>엠탑)서울우유인삼꿀라떼원컵</t>
  </si>
  <si>
    <t>조미료</t>
  </si>
  <si>
    <t>훼밀리)S&amp;B다진와사비43g, CJ)백설꽃소금1kg, 영양)국물용고춧가루120g</t>
  </si>
  <si>
    <t>수축산/계란</t>
  </si>
  <si>
    <t>즉석간식</t>
  </si>
  <si>
    <t>고래사)떡품은어묵</t>
  </si>
  <si>
    <t>장류</t>
  </si>
  <si>
    <t>CJ)해찬들우리쌀고추장사각500g, 샘표)금진간장F3 1.7L, 샘표)양조간장501 500m, CJ)해찬들재래식된장500g, CJ)해찬들쌈장500g</t>
  </si>
  <si>
    <t>식용유지</t>
  </si>
  <si>
    <t>M_포도씨유0.5L, M_해표카놀라유, M_스캔)바삭한요리유, 동원)카놀라유500ml</t>
  </si>
  <si>
    <t>O</t>
  </si>
  <si>
    <t>O</t>
    <phoneticPr fontId="1" type="noConversion"/>
  </si>
  <si>
    <t>핵심 신상품 리스트(Top 80%)</t>
  </si>
  <si>
    <t>양주</t>
  </si>
  <si>
    <t>신동엽)블랙서클위스키700ml, 윌리엄)발베니싱글배럴12년700ml, 언노운)레밍턴700ml, MH)글렌모렌지오리지널12년350ml, 산토리)야마자키12년700ml, 산토리)히비키하모니700ml, 브라운)우드포드리저브디켄터세트, 디아)조니워커블랙루비700ml, 산토리)가쿠빈180ml, APP)히비키하모니700ml, APP)발베니14년캐리비안캐스크700ml, 윌리엄)발베니16년프렌치오크700, APP)글렌고인코리아에디션700ml, APP)발베니12년더블우드700ml, APP)와일드터키레어브리드750ml</t>
  </si>
  <si>
    <t>094653, 094806, 090671, 062061, 094799, 090667, 094120, 094804, 072369, 062556</t>
  </si>
  <si>
    <t>프레시팜)바나나1입, 프레시팜)킹스베리(8입,350g내외), 프레시팜)아삭한경봉복숭아2입(460g 내외), 프레시팜)샤인머스캣(200g 내외/컵), 프레시팜)설향딸기(500g내외), 프레시팜)말랑한황도복숭아2입(460g 내외), 프레시팜)소백산세척사과(1입), 돌코리아)후룻컵알로코코198g, 스마일)야채/과일_15, 프레시팜)논산킹스베리(2입,100g내외), 프레시팜)대추방울토마토200g, 프레시팜)못난이 사과1kg(6입), 정성담은 프리미엄 사과ㆍ배 6kg, 스마일)야채/과일_14, 프레시팜)수박6~7kg, 스마일)야채/과일_17, 프레시팜)연시 6입 (750g 내외), 프레시팜)샤인머스캣(200g 내외/원형컵), 온샘)신비복숭아6~7입(400g), 중앙)제주천혜향1입/봉(180g내외), 프레시팜)바나나2입, 프레시팜)하우스밀감 3입, 프레시팜)제주노지밀감5입(330g내외), 프레시팜)제주노지밀감3입(200g내외), 프레시팜)샤인머스캣 (500g내외), 온샘)제주감귤500g(6~9입), 돌코리아)바나나3~5입, 프레시팜)하우스밀감 5입, 프레시팜)혼합과일 3종(270g내외), 프레시팜)생체리180g ... (외 10개)</t>
  </si>
  <si>
    <t>PB)스팸마요덮밥314.2g, PB)스팸김치덮밥332.2g, 박은영)마라마파두부덮밥380g, 미정)미정당스팸로제납작당면338g, 미정)미정당불어묵납작당면353g, PB)이봉원의봉짬뽕224g, CJ)비비고볶은김치80g, 한울)매운실비볶음김치80g, 삼립)광천식김우동206g, PB)까르보나라파스타282.5g, PB)미트파스타292.5g, 미정)얼음동동물비빔냉면242g, CJ)비비고김치볶음150g, CJ)비비고김치200g, 미정)얼음동동물냉면245g</t>
  </si>
  <si>
    <t>하겐)크리스피샌드말차베리60ml, 하겐)티라미수바80ml, 하겐)컵쿠키앤그린티100ml, 하겐)컵티라미수100ml, 하겐)파인트쿠키앤그린티403ml, 하겐)컵츄러스100ml, 하겐)망고앤패션후르츠바80ml, 하겐)피치앤라즈베리바80ml, 하겐)딸기초콜릿스윗케이크749g, 하겐)파인트티라미수403ml, 벤앤)스트로베리치즈케이크파인트</t>
  </si>
  <si>
    <t>웅진)자연은망고500ml, 쥬맥스)모구모구(망고)320ml, 동원)비타C자몽에이드500ML, 시원)블루레몬에이드500ml, 웅진)자연은납작복숭아500ml, 대한)산토리키릿토후르츠오렌지망고600ml, 대한)산토리키릿토후르츠자몽청포도600ml, 인테)애사비에이드사과410ml , 시원)피치핑크에이드500ml</t>
  </si>
  <si>
    <t>흰우유</t>
  </si>
  <si>
    <t>미국산 LA갈비세트 2.8kg, 호주산 LA갈비세트 3kg, 영광법성포 오가굴비세트 선 1.1kg, 한우 갈비 명품세트 3.2kg, 한우 만족 혼합세트 2.4kg, 한우 갈비 정성세트 2.4kg, 영광법성포 오가굴비세트 진 1.4kg, 미국산 LA갈비세트 2kg, 영광법성포 고추장 굴비세트 800g, 완도 직송특대活전복세트 1kg, 제주 옥돔세트 650g, 영광법성포 오가굴비세트 미 900g, 한우 정성 혼합세트 3.2kg, 하이포크)한돈돌돌말이400g, 신선을새롭게)한우차돌박이300g</t>
  </si>
  <si>
    <t>웅진)빅토리아레몬500ml, 자임)유기농레몬수500ml , 웅진)빅토리아청포도500ml , G)싱하소다워터325ml</t>
  </si>
  <si>
    <t>프레시팜)동물복지 무항생제 유정란 10입, Marble9 구이 혼합세트 2kg,  한우 1+등급 정성세트 0.9kg, 안동한우 1++등급 혼합 만족세트 1.2kg, 안동한우 1++등급 구이 명품세트 1.2kg, 한우 1++등급 명품세트 2.0kg, 안동한우 1++등급 구이 정성세트 1.2kg, 한우 1+등급 혼합 특선세트 1.2kg, 민생)마블나인 1++등급구이혼합세트 2.6kg, 민생)한우 1등급 등심 구이 스페셜 세트 1.7kg, 농협 한우1등급 구이 실속세트 0.9kg, 농협 한우 1등급 정육 실속세트 0.9kg</t>
  </si>
  <si>
    <t>선물세트</t>
  </si>
  <si>
    <t>화요)화요53도750ml적마에디션, 디아)조니워커블루 글랜캐런세트 750ml, 25추_올가)참기름간장선물세트2호, 52-10_마츠)마계로의초대군고구마소주, 디아)조니워커블루고스트앤레어4, 25추_자양)캔돌김2-2호세트, 젠니혼)핫카이산준마이다이긴죠세트, 25추_팜팩토리)파미고엑스트라버진올리브오일2입, 동원)튜나리챔10호, 오비)스텔라고메챌리스세프에디션, 롯데)크러시풀오픈캔쿨러백, 25추_광천)파래혼합선물세트1호, 칼스)칼스버그리버풀기획세트, 보해)매취순12년 3L, 25추_삼립그릭슈바인복합8호, 오비)스텔라스노우챌리스에디션, 동원)T14호, 죽력고32도700ml, 25추_선명)리치넛 시그니처(30입), 성경)녹차곱창돌김선물세트_25년설, 진로)진로1924헤리티지선물세트, 25추_바다원)명품통영멸치세트, 진로)진로1924헤리티지700ml, 디아)조니워커블루200ml, CJ)스팸풍성한E호, 진로)일품진로1924 100주년에디션, 에이이)코젤디퓨저&amp;전용잔세트, 41-02CJ)스팸8호, 금양)1865 2본입세트, 25추_선명)컬러푸드하루견과(50입) ... (외 8개)</t>
  </si>
  <si>
    <t xml:space="preserve">선물세트 </t>
  </si>
  <si>
    <t>25추)정관장다보록감사휘편, 25설)종근당침향환골드60환, 25추)정관장홍력환30환, 25추)정관장홍삼정에브리타임롱기스트20포, 25추)고려은단비타민C1000 240정, 25추)정관장활기력, 25추)정관장홍삼원골드60포, 25추)종근당침향환골드60환, 25추)정관장홍삼천보, 25추)정관장홍삼원60포, 25추)한삼인홍삼환골드, 25추)휴럼6년근고려홍삼활력스틱, 25추)선우천연벌꿀3종세트, 25추)한삼인대보선물세트2호, 25추)퀸즈트리피넛버터3입, 25추)한포유아르기닌N블랙마카커플세트, 25추)종근당홍삼정골드애니타임스틱, 25추)이경제더힘찬녹용환, 25설)정관장홍삼본정데일리스틱, 25추)164루테인지아잔틴세트</t>
  </si>
  <si>
    <t>SB)허니머스타드케이준샐러드랩, SB)케이준치킨시저샐러드랩, SB)닭가슴살타코랩샌드</t>
  </si>
  <si>
    <t>인디)KGB레몬330ml캔(6입), 인디)KGB레몬275ml병(4입), 디아)베일리스700ml, APP)아페롤700ml, 인디)버젤페터700ml</t>
  </si>
  <si>
    <t>PB 포함 여부</t>
  </si>
  <si>
    <t>PB), 세븐카페), 세븐일레븐, 세븐셀렉트</t>
  </si>
  <si>
    <t>서브브랜드(박은영셰프, 최강록, 이정후)</t>
  </si>
  <si>
    <t>IP컬래버(산리오·포차코·마이멜로디·잔망루피, 티니핑, KBO)</t>
  </si>
  <si>
    <t>브랜드/인플루언서(Dole, 추성훈, 하정우, 안유성, 히밥, 좀비딸)</t>
  </si>
  <si>
    <t>의성어/네이밍(쪼코쪼코·분홍분홍·노랑노랑·콩닥콩닥, 촉촉)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</si>
</sst>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9CABE2-B7A8-436D-97D8-F71CF68A7496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7a3b0a56-99f5-40ec-b5ec-930a394ba3d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52E9-FF08-4F37-9CC8-B6B6DAFE4BEC}">
  <dimension ref="A1:L92"/>
  <sheetViews>
    <sheetView tabSelected="1" zoomScale="71" workbookViewId="0">
      <selection activeCell="I12" sqref="I12"/>
    </sheetView>
  </sheetViews>
  <sheetFormatPr defaultRowHeight="16.899999999999999" x14ac:dyDescent="0.6"/>
  <sheetData>
    <row r="1" spans="1:12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172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  <c r="L1" s="2" t="s">
        <v>195</v>
      </c>
    </row>
    <row r="2" spans="1:12" x14ac:dyDescent="0.6">
      <c r="A2" t="s">
        <v>5</v>
      </c>
      <c r="B2">
        <v>83</v>
      </c>
      <c r="C2">
        <v>28</v>
      </c>
      <c r="D2">
        <v>33.700000000000003</v>
      </c>
      <c r="E2">
        <v>838727168</v>
      </c>
      <c r="F2" t="s">
        <v>6</v>
      </c>
      <c r="G2" s="1" t="s">
        <v>170</v>
      </c>
      <c r="H2" s="1" t="str" cm="1">
        <f t="array" ref="H2">IF(SUMPRODUCT(--ISNUMBER(SEARCH({"PB)","세븐카페)","세븐일레븐","세븐셀렉트"},F2)))&gt;0,"O","")</f>
        <v/>
      </c>
      <c r="I2" s="1" t="s">
        <v>170</v>
      </c>
      <c r="J2" s="1" t="str" cm="1">
        <f t="array" ref="J2">IF(SUMPRODUCT(--ISNUMBER(SEARCH({"산리오","포차코","마이멜로디","잔망루피","티니핑","KBO"},F2)))&gt;0,"O","")</f>
        <v/>
      </c>
      <c r="K2" s="1" t="s">
        <v>170</v>
      </c>
      <c r="L2" s="1" t="str" cm="1">
        <f t="array" ref="L2">IF(SUMPRODUCT(--ISNUMBER(SEARCH({"쪼코쪼코","분홍분홍","노랑노랑","콩닥콩닥","촉촉"},F2)))&gt;0,"O","")</f>
        <v/>
      </c>
    </row>
    <row r="3" spans="1:12" x14ac:dyDescent="0.6">
      <c r="A3" t="s">
        <v>7</v>
      </c>
      <c r="B3">
        <v>62</v>
      </c>
      <c r="C3">
        <v>25</v>
      </c>
      <c r="D3">
        <v>40.299999999999997</v>
      </c>
      <c r="E3">
        <v>699803712</v>
      </c>
      <c r="F3" t="s">
        <v>8</v>
      </c>
      <c r="G3" s="1" t="s">
        <v>170</v>
      </c>
      <c r="H3" s="1" t="str" cm="1">
        <f t="array" ref="H3">IF(SUMPRODUCT(--ISNUMBER(SEARCH({"PB)","세븐카페)","세븐일레븐","세븐셀렉트"},F3)))&gt;0,"O","")</f>
        <v/>
      </c>
      <c r="I3" s="1" t="s">
        <v>171</v>
      </c>
      <c r="J3" s="1" t="str" cm="1">
        <f t="array" ref="J3">IF(SUMPRODUCT(--ISNUMBER(SEARCH({"산리오","포차코","마이멜로디","잔망루피","티니핑","KBO"},F3)))&gt;0,"O","")</f>
        <v/>
      </c>
      <c r="K3" s="1" t="str" cm="1">
        <f t="array" ref="K3">IF(SUMPRODUCT(--ISNUMBER(SEARCH({"Dole","추성훈","하정우","안유성","히밥","좀비딸"},F3)))&gt;0,"O","")</f>
        <v/>
      </c>
      <c r="L3" s="1" t="str" cm="1">
        <f t="array" ref="L3">IF(SUMPRODUCT(--ISNUMBER(SEARCH({"쪼코쪼코","분홍분홍","노랑노랑","콩닥콩닥","촉촉"},F3)))&gt;0,"O","")</f>
        <v/>
      </c>
    </row>
    <row r="4" spans="1:12" x14ac:dyDescent="0.6">
      <c r="A4" t="s">
        <v>9</v>
      </c>
      <c r="B4">
        <v>309</v>
      </c>
      <c r="C4">
        <v>74</v>
      </c>
      <c r="D4">
        <v>23.9</v>
      </c>
      <c r="E4">
        <v>615532160</v>
      </c>
      <c r="F4" t="s">
        <v>10</v>
      </c>
      <c r="G4" s="1" t="s">
        <v>170</v>
      </c>
      <c r="H4" s="1" t="str" cm="1">
        <f t="array" ref="H4">IF(SUMPRODUCT(--ISNUMBER(SEARCH({"PB)","세븐카페)","세븐일레븐","세븐셀렉트"},F4)))&gt;0,"O","")</f>
        <v/>
      </c>
      <c r="I4" s="1" t="str" cm="1">
        <f t="array" ref="I4">IF(SUMPRODUCT(--ISNUMBER(SEARCH({"박은영","최강록","이정후"},F4)))&gt;0,"O","")</f>
        <v/>
      </c>
      <c r="J4" s="1" t="s">
        <v>170</v>
      </c>
      <c r="K4" s="1" t="str" cm="1">
        <f t="array" ref="K4">IF(SUMPRODUCT(--ISNUMBER(SEARCH({"Dole","추성훈","하정우","안유성","히밥","좀비딸"},F4)))&gt;0,"O","")</f>
        <v/>
      </c>
      <c r="L4" s="1" t="str" cm="1">
        <f t="array" ref="L4">IF(SUMPRODUCT(--ISNUMBER(SEARCH({"쪼코쪼코","분홍분홍","노랑노랑","콩닥콩닥","촉촉"},F4)))&gt;0,"O","")</f>
        <v/>
      </c>
    </row>
    <row r="5" spans="1:12" x14ac:dyDescent="0.6">
      <c r="A5" t="s">
        <v>11</v>
      </c>
      <c r="B5">
        <v>36</v>
      </c>
      <c r="C5">
        <v>23</v>
      </c>
      <c r="D5">
        <v>63.9</v>
      </c>
      <c r="E5">
        <v>556950656</v>
      </c>
      <c r="F5" t="s">
        <v>12</v>
      </c>
      <c r="G5" s="1" t="s">
        <v>170</v>
      </c>
      <c r="H5" s="1" t="str" cm="1">
        <f t="array" ref="H5">IF(SUMPRODUCT(--ISNUMBER(SEARCH({"PB)","세븐카페)","세븐일레븐","세븐셀렉트"},F5)))&gt;0,"O","")</f>
        <v/>
      </c>
      <c r="I5" s="1" t="s">
        <v>170</v>
      </c>
      <c r="J5" s="1" t="str" cm="1">
        <f t="array" ref="J5">IF(SUMPRODUCT(--ISNUMBER(SEARCH({"산리오","포차코","마이멜로디","잔망루피","티니핑","KBO"},F5)))&gt;0,"O","")</f>
        <v/>
      </c>
      <c r="K5" s="1" t="s">
        <v>170</v>
      </c>
      <c r="L5" s="1" t="str" cm="1">
        <f t="array" ref="L5">IF(SUMPRODUCT(--ISNUMBER(SEARCH({"쪼코쪼코","분홍분홍","노랑노랑","콩닥콩닥","촉촉"},F5)))&gt;0,"O","")</f>
        <v/>
      </c>
    </row>
    <row r="6" spans="1:12" x14ac:dyDescent="0.6">
      <c r="A6" t="s">
        <v>13</v>
      </c>
      <c r="B6">
        <v>69</v>
      </c>
      <c r="C6">
        <v>25</v>
      </c>
      <c r="D6">
        <v>36.200000000000003</v>
      </c>
      <c r="E6">
        <v>485365312</v>
      </c>
      <c r="F6" t="s">
        <v>14</v>
      </c>
      <c r="G6" s="1" t="s">
        <v>170</v>
      </c>
      <c r="H6" s="1" t="str" cm="1">
        <f t="array" ref="H6">IF(SUMPRODUCT(--ISNUMBER(SEARCH({"PB)","세븐카페)","세븐일레븐","세븐셀렉트"},F6)))&gt;0,"O","")</f>
        <v/>
      </c>
      <c r="I6" s="1" t="s">
        <v>170</v>
      </c>
      <c r="J6" s="1" t="str" cm="1">
        <f t="array" ref="J6">IF(SUMPRODUCT(--ISNUMBER(SEARCH({"산리오","포차코","마이멜로디","잔망루피","티니핑","KBO"},F6)))&gt;0,"O","")</f>
        <v/>
      </c>
      <c r="K6" s="1" t="str" cm="1">
        <f t="array" ref="K6">IF(SUMPRODUCT(--ISNUMBER(SEARCH({"Dole","추성훈","하정우","안유성","히밥","좀비딸"},F6)))&gt;0,"O","")</f>
        <v/>
      </c>
      <c r="L6" s="1" t="str" cm="1">
        <f t="array" ref="L6">IF(SUMPRODUCT(--ISNUMBER(SEARCH({"쪼코쪼코","분홍분홍","노랑노랑","콩닥콩닥","촉촉"},F6)))&gt;0,"O","")</f>
        <v/>
      </c>
    </row>
    <row r="7" spans="1:12" x14ac:dyDescent="0.6">
      <c r="A7" t="s">
        <v>15</v>
      </c>
      <c r="B7">
        <v>119</v>
      </c>
      <c r="C7">
        <v>61</v>
      </c>
      <c r="D7">
        <v>51.3</v>
      </c>
      <c r="E7">
        <v>432320576</v>
      </c>
      <c r="F7" t="s">
        <v>16</v>
      </c>
      <c r="G7" s="1" t="s">
        <v>170</v>
      </c>
      <c r="H7" s="1" t="s">
        <v>170</v>
      </c>
      <c r="I7" s="1" t="str" cm="1">
        <f t="array" ref="I7">IF(SUMPRODUCT(--ISNUMBER(SEARCH({"박은영","최강록","이정후"},F7)))&gt;0,"O","")</f>
        <v/>
      </c>
      <c r="J7" s="1" t="s">
        <v>170</v>
      </c>
      <c r="K7" s="1" t="str" cm="1">
        <f t="array" ref="K7">IF(SUMPRODUCT(--ISNUMBER(SEARCH({"Dole","추성훈","하정우","안유성","히밥","좀비딸"},F7)))&gt;0,"O","")</f>
        <v/>
      </c>
      <c r="L7" s="1" t="str" cm="1">
        <f t="array" ref="L7">IF(SUMPRODUCT(--ISNUMBER(SEARCH({"쪼코쪼코","분홍분홍","노랑노랑","콩닥콩닥","촉촉"},F7)))&gt;0,"O","")</f>
        <v/>
      </c>
    </row>
    <row r="8" spans="1:12" x14ac:dyDescent="0.6">
      <c r="A8" t="s">
        <v>17</v>
      </c>
      <c r="B8">
        <v>156</v>
      </c>
      <c r="C8">
        <v>56</v>
      </c>
      <c r="D8">
        <v>35.9</v>
      </c>
      <c r="E8">
        <v>373876256</v>
      </c>
      <c r="F8" t="s">
        <v>18</v>
      </c>
      <c r="G8" s="1" t="s">
        <v>170</v>
      </c>
      <c r="H8" s="1" t="s">
        <v>170</v>
      </c>
      <c r="I8" s="1" t="s">
        <v>170</v>
      </c>
      <c r="J8" s="1" t="str" cm="1">
        <f t="array" ref="J8">IF(SUMPRODUCT(--ISNUMBER(SEARCH({"산리오","포차코","마이멜로디","잔망루피","티니핑","KBO"},F8)))&gt;0,"O","")</f>
        <v/>
      </c>
      <c r="K8" s="1" t="str" cm="1">
        <f t="array" ref="K8">IF(SUMPRODUCT(--ISNUMBER(SEARCH({"Dole","추성훈","하정우","안유성","히밥","좀비딸"},F8)))&gt;0,"O","")</f>
        <v/>
      </c>
      <c r="L8" s="1" t="str" cm="1">
        <f t="array" ref="L8">IF(SUMPRODUCT(--ISNUMBER(SEARCH({"쪼코쪼코","분홍분홍","노랑노랑","콩닥콩닥","촉촉"},F8)))&gt;0,"O","")</f>
        <v/>
      </c>
    </row>
    <row r="9" spans="1:12" x14ac:dyDescent="0.6">
      <c r="A9" t="s">
        <v>19</v>
      </c>
      <c r="B9">
        <v>211</v>
      </c>
      <c r="C9">
        <v>60</v>
      </c>
      <c r="D9">
        <v>28.4</v>
      </c>
      <c r="E9">
        <v>268165504</v>
      </c>
      <c r="F9" t="s">
        <v>20</v>
      </c>
      <c r="G9" s="1" t="s">
        <v>170</v>
      </c>
      <c r="H9" s="1" t="s">
        <v>170</v>
      </c>
      <c r="I9" s="1" t="str" cm="1">
        <f t="array" ref="I9">IF(SUMPRODUCT(--ISNUMBER(SEARCH({"박은영","최강록","이정후"},F9)))&gt;0,"O","")</f>
        <v/>
      </c>
      <c r="J9" s="1" t="str" cm="1">
        <f t="array" ref="J9">IF(SUMPRODUCT(--ISNUMBER(SEARCH({"산리오","포차코","마이멜로디","잔망루피","티니핑","KBO"},F9)))&gt;0,"O","")</f>
        <v/>
      </c>
      <c r="K9" s="1" t="str" cm="1">
        <f t="array" ref="K9">IF(SUMPRODUCT(--ISNUMBER(SEARCH({"Dole","추성훈","하정우","안유성","히밥","좀비딸"},F9)))&gt;0,"O","")</f>
        <v/>
      </c>
      <c r="L9" s="1" t="str" cm="1">
        <f t="array" ref="L9">IF(SUMPRODUCT(--ISNUMBER(SEARCH({"쪼코쪼코","분홍분홍","노랑노랑","콩닥콩닥","촉촉"},F9)))&gt;0,"O","")</f>
        <v/>
      </c>
    </row>
    <row r="10" spans="1:12" x14ac:dyDescent="0.6">
      <c r="A10" t="s">
        <v>21</v>
      </c>
      <c r="B10">
        <v>60</v>
      </c>
      <c r="C10">
        <v>23</v>
      </c>
      <c r="D10">
        <v>38.299999999999997</v>
      </c>
      <c r="E10">
        <v>254985280</v>
      </c>
      <c r="F10" t="s">
        <v>22</v>
      </c>
      <c r="G10" s="1" t="s">
        <v>170</v>
      </c>
      <c r="H10" s="1" t="str" cm="1">
        <f t="array" ref="H10">IF(SUMPRODUCT(--ISNUMBER(SEARCH({"PB)","세븐카페)","세븐일레븐","세븐셀렉트"},F10)))&gt;0,"O","")</f>
        <v/>
      </c>
      <c r="I10" s="1" t="s">
        <v>170</v>
      </c>
      <c r="J10" s="1" t="str" cm="1">
        <f t="array" ref="J10">IF(SUMPRODUCT(--ISNUMBER(SEARCH({"산리오","포차코","마이멜로디","잔망루피","티니핑","KBO"},F10)))&gt;0,"O","")</f>
        <v/>
      </c>
      <c r="K10" s="1" t="str" cm="1">
        <f t="array" ref="K10">IF(SUMPRODUCT(--ISNUMBER(SEARCH({"Dole","추성훈","하정우","안유성","히밥","좀비딸"},F10)))&gt;0,"O","")</f>
        <v/>
      </c>
      <c r="L10" s="1" t="str" cm="1">
        <f t="array" ref="L10">IF(SUMPRODUCT(--ISNUMBER(SEARCH({"쪼코쪼코","분홍분홍","노랑노랑","콩닥콩닥","촉촉"},F10)))&gt;0,"O","")</f>
        <v/>
      </c>
    </row>
    <row r="11" spans="1:12" x14ac:dyDescent="0.6">
      <c r="A11" t="s">
        <v>23</v>
      </c>
      <c r="B11">
        <v>144</v>
      </c>
      <c r="C11">
        <v>47</v>
      </c>
      <c r="D11">
        <v>32.6</v>
      </c>
      <c r="E11">
        <v>196739200</v>
      </c>
      <c r="F11" t="s">
        <v>24</v>
      </c>
      <c r="G11" s="1" t="s">
        <v>170</v>
      </c>
      <c r="H11" s="1" t="s">
        <v>170</v>
      </c>
      <c r="I11" s="1" t="str" cm="1">
        <f t="array" ref="I11">IF(SUMPRODUCT(--ISNUMBER(SEARCH({"박은영","최강록","이정후"},F11)))&gt;0,"O","")</f>
        <v/>
      </c>
      <c r="J11" s="1" t="str" cm="1">
        <f t="array" ref="J11">IF(SUMPRODUCT(--ISNUMBER(SEARCH({"산리오","포차코","마이멜로디","잔망루피","티니핑","KBO"},F11)))&gt;0,"O","")</f>
        <v/>
      </c>
      <c r="K11" s="1" t="str" cm="1">
        <f t="array" ref="K11">IF(SUMPRODUCT(--ISNUMBER(SEARCH({"Dole","추성훈","하정우","안유성","히밥","좀비딸"},F11)))&gt;0,"O","")</f>
        <v/>
      </c>
      <c r="L11" s="1" t="str" cm="1">
        <f t="array" ref="L11">IF(SUMPRODUCT(--ISNUMBER(SEARCH({"쪼코쪼코","분홍분홍","노랑노랑","콩닥콩닥","촉촉"},F11)))&gt;0,"O","")</f>
        <v/>
      </c>
    </row>
    <row r="12" spans="1:12" x14ac:dyDescent="0.6">
      <c r="A12" t="s">
        <v>173</v>
      </c>
      <c r="B12">
        <v>153</v>
      </c>
      <c r="C12">
        <v>15</v>
      </c>
      <c r="D12">
        <v>9.8000000000000007</v>
      </c>
      <c r="E12">
        <v>178597024</v>
      </c>
      <c r="F12" t="s">
        <v>174</v>
      </c>
      <c r="G12" s="1" t="str">
        <f t="shared" ref="G3:G66" si="0">IF(COUNTIF(H12:L12,"O")&gt;0,"O","")</f>
        <v>O</v>
      </c>
      <c r="H12" s="1" t="str" cm="1">
        <f t="array" ref="H12">IF(SUMPRODUCT(--ISNUMBER(SEARCH({"PB)","세븐카페)","세븐일레븐","세븐셀렉트"},F12)))&gt;0,"O","")</f>
        <v/>
      </c>
      <c r="I12" s="1" t="str" cm="1">
        <f t="array" ref="I12">IF(SUMPRODUCT(--ISNUMBER(SEARCH({"박은영","최강록","이정후"},F12)))&gt;0,"O","")</f>
        <v/>
      </c>
      <c r="J12" s="1" t="str" cm="1">
        <f t="array" ref="J12">IF(SUMPRODUCT(--ISNUMBER(SEARCH({"산리오","포차코","마이멜로디","잔망루피","티니핑","KBO"},F12)))&gt;0,"O","")</f>
        <v/>
      </c>
      <c r="K12" s="1" t="s">
        <v>171</v>
      </c>
      <c r="L12" s="1" t="str" cm="1">
        <f t="array" ref="L12">IF(SUMPRODUCT(--ISNUMBER(SEARCH({"쪼코쪼코","분홍분홍","노랑노랑","콩닥콩닥","촉촉"},F12)))&gt;0,"O","")</f>
        <v/>
      </c>
    </row>
    <row r="13" spans="1:12" x14ac:dyDescent="0.6">
      <c r="A13" t="s">
        <v>25</v>
      </c>
      <c r="B13">
        <v>55</v>
      </c>
      <c r="C13">
        <v>22</v>
      </c>
      <c r="D13">
        <v>40</v>
      </c>
      <c r="E13">
        <v>166372592</v>
      </c>
      <c r="F13" t="s">
        <v>26</v>
      </c>
      <c r="G13" s="1" t="s">
        <v>170</v>
      </c>
      <c r="H13" s="1" t="s">
        <v>170</v>
      </c>
      <c r="I13" s="1" t="s">
        <v>170</v>
      </c>
      <c r="J13" s="1" t="str" cm="1">
        <f t="array" ref="J13">IF(SUMPRODUCT(--ISNUMBER(SEARCH({"산리오","포차코","마이멜로디","잔망루피","티니핑","KBO"},F13)))&gt;0,"O","")</f>
        <v/>
      </c>
      <c r="K13" s="1" t="s">
        <v>170</v>
      </c>
      <c r="L13" s="1" t="str" cm="1">
        <f t="array" ref="L13">IF(SUMPRODUCT(--ISNUMBER(SEARCH({"쪼코쪼코","분홍분홍","노랑노랑","콩닥콩닥","촉촉"},F13)))&gt;0,"O","")</f>
        <v/>
      </c>
    </row>
    <row r="14" spans="1:12" x14ac:dyDescent="0.6">
      <c r="A14" t="s">
        <v>27</v>
      </c>
      <c r="B14">
        <v>60</v>
      </c>
      <c r="C14">
        <v>30</v>
      </c>
      <c r="D14">
        <v>50</v>
      </c>
      <c r="E14">
        <v>159116288</v>
      </c>
      <c r="F14" t="s">
        <v>28</v>
      </c>
      <c r="G14" s="1" t="s">
        <v>170</v>
      </c>
      <c r="H14" s="1" t="s">
        <v>170</v>
      </c>
      <c r="I14" s="1" t="str" cm="1">
        <f t="array" ref="I14">IF(SUMPRODUCT(--ISNUMBER(SEARCH({"박은영","최강록","이정후"},F14)))&gt;0,"O","")</f>
        <v/>
      </c>
      <c r="J14" s="1" t="s">
        <v>170</v>
      </c>
      <c r="K14" s="1" t="str" cm="1">
        <f t="array" ref="K14">IF(SUMPRODUCT(--ISNUMBER(SEARCH({"Dole","추성훈","하정우","안유성","히밥","좀비딸"},F14)))&gt;0,"O","")</f>
        <v/>
      </c>
      <c r="L14" s="1" t="str" cm="1">
        <f t="array" ref="L14">IF(SUMPRODUCT(--ISNUMBER(SEARCH({"쪼코쪼코","분홍분홍","노랑노랑","콩닥콩닥","촉촉"},F14)))&gt;0,"O","")</f>
        <v/>
      </c>
    </row>
    <row r="15" spans="1:12" x14ac:dyDescent="0.6">
      <c r="A15" t="s">
        <v>29</v>
      </c>
      <c r="B15">
        <v>27</v>
      </c>
      <c r="C15">
        <v>12</v>
      </c>
      <c r="D15">
        <v>44.4</v>
      </c>
      <c r="E15">
        <v>157634448</v>
      </c>
      <c r="F15" t="s">
        <v>30</v>
      </c>
      <c r="G15" s="1" t="s">
        <v>170</v>
      </c>
      <c r="H15" s="1" t="str" cm="1">
        <f t="array" ref="H15">IF(SUMPRODUCT(--ISNUMBER(SEARCH({"PB)","세븐카페)","세븐일레븐","세븐셀렉트"},F15)))&gt;0,"O","")</f>
        <v/>
      </c>
      <c r="I15" s="1" t="str" cm="1">
        <f t="array" ref="I15">IF(SUMPRODUCT(--ISNUMBER(SEARCH({"박은영","최강록","이정후"},F15)))&gt;0,"O","")</f>
        <v/>
      </c>
      <c r="J15" s="1" t="str" cm="1">
        <f t="array" ref="J15">IF(SUMPRODUCT(--ISNUMBER(SEARCH({"산리오","포차코","마이멜로디","잔망루피","티니핑","KBO"},F15)))&gt;0,"O","")</f>
        <v/>
      </c>
      <c r="K15" s="1" t="str" cm="1">
        <f t="array" ref="K15">IF(SUMPRODUCT(--ISNUMBER(SEARCH({"Dole","추성훈","하정우","안유성","히밥","좀비딸"},F15)))&gt;0,"O","")</f>
        <v/>
      </c>
      <c r="L15" s="1" t="s">
        <v>171</v>
      </c>
    </row>
    <row r="16" spans="1:12" x14ac:dyDescent="0.6">
      <c r="A16" t="s">
        <v>31</v>
      </c>
      <c r="B16">
        <v>55</v>
      </c>
      <c r="C16">
        <v>16</v>
      </c>
      <c r="D16">
        <v>29.1</v>
      </c>
      <c r="E16">
        <v>154710112</v>
      </c>
      <c r="F16" t="s">
        <v>32</v>
      </c>
      <c r="G16" s="1" t="s">
        <v>170</v>
      </c>
      <c r="H16" s="1" t="str" cm="1">
        <f t="array" ref="H16">IF(SUMPRODUCT(--ISNUMBER(SEARCH({"PB)","세븐카페)","세븐일레븐","세븐셀렉트"},F16)))&gt;0,"O","")</f>
        <v/>
      </c>
      <c r="I16" s="1" t="str" cm="1">
        <f t="array" ref="I16">IF(SUMPRODUCT(--ISNUMBER(SEARCH({"박은영","최강록","이정후"},F16)))&gt;0,"O","")</f>
        <v/>
      </c>
      <c r="J16" s="1" t="str" cm="1">
        <f t="array" ref="J16">IF(SUMPRODUCT(--ISNUMBER(SEARCH({"산리오","포차코","마이멜로디","잔망루피","티니핑","KBO"},F16)))&gt;0,"O","")</f>
        <v/>
      </c>
      <c r="K16" s="1" t="str" cm="1">
        <f t="array" ref="K16">IF(SUMPRODUCT(--ISNUMBER(SEARCH({"Dole","추성훈","하정우","안유성","히밥","좀비딸"},F16)))&gt;0,"O","")</f>
        <v/>
      </c>
      <c r="L16" s="1" t="str" cm="1">
        <f t="array" ref="L16">IF(SUMPRODUCT(--ISNUMBER(SEARCH({"쪼코쪼코","분홍분홍","노랑노랑","콩닥콩닥","촉촉"},F16)))&gt;0,"O","")</f>
        <v/>
      </c>
    </row>
    <row r="17" spans="1:12" x14ac:dyDescent="0.6">
      <c r="A17" t="s">
        <v>33</v>
      </c>
      <c r="B17">
        <v>62</v>
      </c>
      <c r="C17">
        <v>32</v>
      </c>
      <c r="D17">
        <v>51.6</v>
      </c>
      <c r="E17">
        <v>133718624</v>
      </c>
      <c r="F17" t="s">
        <v>34</v>
      </c>
      <c r="G17" s="1" t="s">
        <v>170</v>
      </c>
      <c r="H17" s="1" t="s">
        <v>170</v>
      </c>
      <c r="I17" s="1" t="str" cm="1">
        <f t="array" ref="I17">IF(SUMPRODUCT(--ISNUMBER(SEARCH({"박은영","최강록","이정후"},F17)))&gt;0,"O","")</f>
        <v/>
      </c>
      <c r="J17" s="1" t="str" cm="1">
        <f t="array" ref="J17">IF(SUMPRODUCT(--ISNUMBER(SEARCH({"산리오","포차코","마이멜로디","잔망루피","티니핑","KBO"},F17)))&gt;0,"O","")</f>
        <v/>
      </c>
      <c r="K17" s="1" t="str" cm="1">
        <f t="array" ref="K17">IF(SUMPRODUCT(--ISNUMBER(SEARCH({"Dole","추성훈","하정우","안유성","히밥","좀비딸"},F17)))&gt;0,"O","")</f>
        <v/>
      </c>
      <c r="L17" s="1" t="s">
        <v>170</v>
      </c>
    </row>
    <row r="18" spans="1:12" x14ac:dyDescent="0.6">
      <c r="A18" t="s">
        <v>35</v>
      </c>
      <c r="B18">
        <v>57</v>
      </c>
      <c r="C18">
        <v>16</v>
      </c>
      <c r="D18">
        <v>28.1</v>
      </c>
      <c r="E18">
        <v>111964592</v>
      </c>
      <c r="F18" t="s">
        <v>36</v>
      </c>
      <c r="G18" s="1" t="str">
        <f t="shared" si="0"/>
        <v/>
      </c>
      <c r="H18" s="1" t="str" cm="1">
        <f t="array" ref="H18">IF(SUMPRODUCT(--ISNUMBER(SEARCH({"PB)","세븐카페)","세븐일레븐","세븐셀렉트"},F18)))&gt;0,"O","")</f>
        <v/>
      </c>
      <c r="I18" s="1" t="str" cm="1">
        <f t="array" ref="I18">IF(SUMPRODUCT(--ISNUMBER(SEARCH({"박은영","최강록","이정후"},F18)))&gt;0,"O","")</f>
        <v/>
      </c>
      <c r="J18" s="1" t="str" cm="1">
        <f t="array" ref="J18">IF(SUMPRODUCT(--ISNUMBER(SEARCH({"산리오","포차코","마이멜로디","잔망루피","티니핑","KBO"},F18)))&gt;0,"O","")</f>
        <v/>
      </c>
      <c r="K18" s="1" t="str" cm="1">
        <f t="array" ref="K18">IF(SUMPRODUCT(--ISNUMBER(SEARCH({"Dole","추성훈","하정우","안유성","히밥","좀비딸"},F18)))&gt;0,"O","")</f>
        <v/>
      </c>
      <c r="L18" s="1" t="str" cm="1">
        <f t="array" ref="L18">IF(SUMPRODUCT(--ISNUMBER(SEARCH({"쪼코쪼코","분홍분홍","노랑노랑","콩닥콩닥","촉촉"},F18)))&gt;0,"O","")</f>
        <v/>
      </c>
    </row>
    <row r="19" spans="1:12" x14ac:dyDescent="0.6">
      <c r="A19" t="s">
        <v>37</v>
      </c>
      <c r="B19">
        <v>26</v>
      </c>
      <c r="C19">
        <v>6</v>
      </c>
      <c r="D19">
        <v>23.1</v>
      </c>
      <c r="E19">
        <v>87837608</v>
      </c>
      <c r="F19" t="s">
        <v>38</v>
      </c>
      <c r="G19" s="1" t="s">
        <v>170</v>
      </c>
      <c r="H19" s="1" t="str" cm="1">
        <f t="array" ref="H19">IF(SUMPRODUCT(--ISNUMBER(SEARCH({"PB)","세븐카페)","세븐일레븐","세븐셀렉트"},F19)))&gt;0,"O","")</f>
        <v/>
      </c>
      <c r="I19" s="1" t="str" cm="1">
        <f t="array" ref="I19">IF(SUMPRODUCT(--ISNUMBER(SEARCH({"박은영","최강록","이정후"},F19)))&gt;0,"O","")</f>
        <v/>
      </c>
      <c r="J19" s="1" t="str" cm="1">
        <f t="array" ref="J19">IF(SUMPRODUCT(--ISNUMBER(SEARCH({"산리오","포차코","마이멜로디","잔망루피","티니핑","KBO"},F19)))&gt;0,"O","")</f>
        <v/>
      </c>
      <c r="K19" s="1" t="str" cm="1">
        <f t="array" ref="K19">IF(SUMPRODUCT(--ISNUMBER(SEARCH({"Dole","추성훈","하정우","안유성","히밥","좀비딸"},F19)))&gt;0,"O","")</f>
        <v/>
      </c>
      <c r="L19" s="1" t="str" cm="1">
        <f t="array" ref="L19">IF(SUMPRODUCT(--ISNUMBER(SEARCH({"쪼코쪼코","분홍분홍","노랑노랑","콩닥콩닥","촉촉"},F19)))&gt;0,"O","")</f>
        <v/>
      </c>
    </row>
    <row r="20" spans="1:12" x14ac:dyDescent="0.6">
      <c r="A20" t="s">
        <v>39</v>
      </c>
      <c r="B20">
        <v>71</v>
      </c>
      <c r="C20">
        <v>6</v>
      </c>
      <c r="D20">
        <v>8.5</v>
      </c>
      <c r="E20">
        <v>86635592</v>
      </c>
      <c r="F20" t="s">
        <v>40</v>
      </c>
      <c r="G20" s="1" t="str">
        <f t="shared" si="0"/>
        <v/>
      </c>
      <c r="H20" s="1" t="str" cm="1">
        <f t="array" ref="H20">IF(SUMPRODUCT(--ISNUMBER(SEARCH({"PB)","세븐카페)","세븐일레븐","세븐셀렉트"},F20)))&gt;0,"O","")</f>
        <v/>
      </c>
      <c r="I20" s="1" t="str" cm="1">
        <f t="array" ref="I20">IF(SUMPRODUCT(--ISNUMBER(SEARCH({"박은영","최강록","이정후"},F20)))&gt;0,"O","")</f>
        <v/>
      </c>
      <c r="J20" s="1" t="str" cm="1">
        <f t="array" ref="J20">IF(SUMPRODUCT(--ISNUMBER(SEARCH({"산리오","포차코","마이멜로디","잔망루피","티니핑","KBO"},F20)))&gt;0,"O","")</f>
        <v/>
      </c>
      <c r="K20" s="1" t="str" cm="1">
        <f t="array" ref="K20">IF(SUMPRODUCT(--ISNUMBER(SEARCH({"Dole","추성훈","하정우","안유성","히밥","좀비딸"},F20)))&gt;0,"O","")</f>
        <v/>
      </c>
      <c r="L20" s="1" t="str" cm="1">
        <f t="array" ref="L20">IF(SUMPRODUCT(--ISNUMBER(SEARCH({"쪼코쪼코","분홍분홍","노랑노랑","콩닥콩닥","촉촉"},F20)))&gt;0,"O","")</f>
        <v/>
      </c>
    </row>
    <row r="21" spans="1:12" x14ac:dyDescent="0.6">
      <c r="A21" t="s">
        <v>41</v>
      </c>
      <c r="B21">
        <v>11</v>
      </c>
      <c r="C21">
        <v>7</v>
      </c>
      <c r="D21">
        <v>63.6</v>
      </c>
      <c r="E21">
        <v>80508648</v>
      </c>
      <c r="F21" t="s">
        <v>42</v>
      </c>
      <c r="G21" s="1" t="s">
        <v>170</v>
      </c>
      <c r="H21" s="1" t="s">
        <v>170</v>
      </c>
      <c r="I21" s="1" t="s">
        <v>170</v>
      </c>
      <c r="J21" s="1" t="str" cm="1">
        <f t="array" ref="J21">IF(SUMPRODUCT(--ISNUMBER(SEARCH({"산리오","포차코","마이멜로디","잔망루피","티니핑","KBO"},F21)))&gt;0,"O","")</f>
        <v/>
      </c>
      <c r="K21" s="1" t="str" cm="1">
        <f t="array" ref="K21">IF(SUMPRODUCT(--ISNUMBER(SEARCH({"Dole","추성훈","하정우","안유성","히밥","좀비딸"},F21)))&gt;0,"O","")</f>
        <v/>
      </c>
      <c r="L21" s="1" t="str" cm="1">
        <f t="array" ref="L21">IF(SUMPRODUCT(--ISNUMBER(SEARCH({"쪼코쪼코","분홍분홍","노랑노랑","콩닥콩닥","촉촉"},F21)))&gt;0,"O","")</f>
        <v/>
      </c>
    </row>
    <row r="22" spans="1:12" x14ac:dyDescent="0.6">
      <c r="A22" t="s">
        <v>43</v>
      </c>
      <c r="B22">
        <v>17</v>
      </c>
      <c r="C22">
        <v>11</v>
      </c>
      <c r="D22">
        <v>64.7</v>
      </c>
      <c r="E22">
        <v>77010584</v>
      </c>
      <c r="F22" t="s">
        <v>44</v>
      </c>
      <c r="G22" s="1" t="s">
        <v>170</v>
      </c>
      <c r="H22" s="1" t="s">
        <v>170</v>
      </c>
      <c r="I22" s="1" t="str" cm="1">
        <f t="array" ref="I22">IF(SUMPRODUCT(--ISNUMBER(SEARCH({"박은영","최강록","이정후"},F22)))&gt;0,"O","")</f>
        <v/>
      </c>
      <c r="J22" s="1" t="str" cm="1">
        <f t="array" ref="J22">IF(SUMPRODUCT(--ISNUMBER(SEARCH({"산리오","포차코","마이멜로디","잔망루피","티니핑","KBO"},F22)))&gt;0,"O","")</f>
        <v/>
      </c>
      <c r="K22" s="1" t="str" cm="1">
        <f t="array" ref="K22">IF(SUMPRODUCT(--ISNUMBER(SEARCH({"Dole","추성훈","하정우","안유성","히밥","좀비딸"},F22)))&gt;0,"O","")</f>
        <v/>
      </c>
      <c r="L22" s="1" t="str" cm="1">
        <f t="array" ref="L22">IF(SUMPRODUCT(--ISNUMBER(SEARCH({"쪼코쪼코","분홍분홍","노랑노랑","콩닥콩닥","촉촉"},F22)))&gt;0,"O","")</f>
        <v/>
      </c>
    </row>
    <row r="23" spans="1:12" x14ac:dyDescent="0.6">
      <c r="A23" t="s">
        <v>45</v>
      </c>
      <c r="B23">
        <v>17</v>
      </c>
      <c r="C23">
        <v>11</v>
      </c>
      <c r="D23">
        <v>64.7</v>
      </c>
      <c r="E23">
        <v>75703704</v>
      </c>
      <c r="F23" t="s">
        <v>46</v>
      </c>
      <c r="G23" s="1" t="s">
        <v>170</v>
      </c>
      <c r="H23" s="1" t="s">
        <v>170</v>
      </c>
      <c r="I23" s="1" t="str" cm="1">
        <f t="array" ref="I23">IF(SUMPRODUCT(--ISNUMBER(SEARCH({"박은영","최강록","이정후"},F23)))&gt;0,"O","")</f>
        <v/>
      </c>
      <c r="J23" s="1" t="str" cm="1">
        <f t="array" ref="J23">IF(SUMPRODUCT(--ISNUMBER(SEARCH({"산리오","포차코","마이멜로디","잔망루피","티니핑","KBO"},F23)))&gt;0,"O","")</f>
        <v/>
      </c>
      <c r="K23" s="1" t="str" cm="1">
        <f t="array" ref="K23">IF(SUMPRODUCT(--ISNUMBER(SEARCH({"Dole","추성훈","하정우","안유성","히밥","좀비딸"},F23)))&gt;0,"O","")</f>
        <v/>
      </c>
      <c r="L23" s="1" t="str" cm="1">
        <f t="array" ref="L23">IF(SUMPRODUCT(--ISNUMBER(SEARCH({"쪼코쪼코","분홍분홍","노랑노랑","콩닥콩닥","촉촉"},F23)))&gt;0,"O","")</f>
        <v/>
      </c>
    </row>
    <row r="24" spans="1:12" x14ac:dyDescent="0.6">
      <c r="A24" t="s">
        <v>49</v>
      </c>
      <c r="B24">
        <v>136</v>
      </c>
      <c r="C24">
        <v>10</v>
      </c>
      <c r="D24">
        <v>7.4</v>
      </c>
      <c r="E24">
        <v>69744168</v>
      </c>
      <c r="F24" t="s">
        <v>175</v>
      </c>
      <c r="G24" s="1" t="str">
        <f t="shared" si="0"/>
        <v/>
      </c>
      <c r="H24" s="1" t="str" cm="1">
        <f t="array" ref="H24">IF(SUMPRODUCT(--ISNUMBER(SEARCH({"PB)","세븐카페)","세븐일레븐","세븐셀렉트"},F24)))&gt;0,"O","")</f>
        <v/>
      </c>
      <c r="I24" s="1" t="str" cm="1">
        <f t="array" ref="I24">IF(SUMPRODUCT(--ISNUMBER(SEARCH({"박은영","최강록","이정후"},F24)))&gt;0,"O","")</f>
        <v/>
      </c>
      <c r="J24" s="1" t="str" cm="1">
        <f t="array" ref="J24">IF(SUMPRODUCT(--ISNUMBER(SEARCH({"산리오","포차코","마이멜로디","잔망루피","티니핑","KBO"},F24)))&gt;0,"O","")</f>
        <v/>
      </c>
      <c r="K24" s="1" t="str" cm="1">
        <f t="array" ref="K24">IF(SUMPRODUCT(--ISNUMBER(SEARCH({"Dole","추성훈","하정우","안유성","히밥","좀비딸"},F24)))&gt;0,"O","")</f>
        <v/>
      </c>
      <c r="L24" s="1" t="str" cm="1">
        <f t="array" ref="L24">IF(SUMPRODUCT(--ISNUMBER(SEARCH({"쪼코쪼코","분홍분홍","노랑노랑","콩닥콩닥","촉촉"},F24)))&gt;0,"O","")</f>
        <v/>
      </c>
    </row>
    <row r="25" spans="1:12" x14ac:dyDescent="0.6">
      <c r="A25" t="s">
        <v>47</v>
      </c>
      <c r="B25">
        <v>43</v>
      </c>
      <c r="C25">
        <v>26</v>
      </c>
      <c r="D25">
        <v>60.5</v>
      </c>
      <c r="E25">
        <v>65703640</v>
      </c>
      <c r="F25" t="s">
        <v>48</v>
      </c>
      <c r="G25" s="1" t="s">
        <v>170</v>
      </c>
      <c r="H25" s="1" t="str" cm="1">
        <f t="array" ref="H25">IF(SUMPRODUCT(--ISNUMBER(SEARCH({"PB)","세븐카페)","세븐일레븐","세븐셀렉트"},F25)))&gt;0,"O","")</f>
        <v/>
      </c>
      <c r="I25" s="1" t="str" cm="1">
        <f t="array" ref="I25">IF(SUMPRODUCT(--ISNUMBER(SEARCH({"박은영","최강록","이정후"},F25)))&gt;0,"O","")</f>
        <v/>
      </c>
      <c r="J25" s="1" t="str" cm="1">
        <f t="array" ref="J25">IF(SUMPRODUCT(--ISNUMBER(SEARCH({"산리오","포차코","마이멜로디","잔망루피","티니핑","KBO"},F25)))&gt;0,"O","")</f>
        <v/>
      </c>
      <c r="K25" s="1" t="str" cm="1">
        <f t="array" ref="K25">IF(SUMPRODUCT(--ISNUMBER(SEARCH({"Dole","추성훈","하정우","안유성","히밥","좀비딸"},F25)))&gt;0,"O","")</f>
        <v/>
      </c>
      <c r="L25" s="1" t="str" cm="1">
        <f t="array" ref="L25">IF(SUMPRODUCT(--ISNUMBER(SEARCH({"쪼코쪼코","분홍분홍","노랑노랑","콩닥콩닥","촉촉"},F25)))&gt;0,"O","")</f>
        <v/>
      </c>
    </row>
    <row r="26" spans="1:12" x14ac:dyDescent="0.6">
      <c r="A26" t="s">
        <v>50</v>
      </c>
      <c r="B26">
        <v>17</v>
      </c>
      <c r="C26">
        <v>8</v>
      </c>
      <c r="D26">
        <v>47.1</v>
      </c>
      <c r="E26">
        <v>56940520</v>
      </c>
      <c r="F26" t="s">
        <v>51</v>
      </c>
      <c r="G26" s="1" t="s">
        <v>170</v>
      </c>
      <c r="H26" s="1" t="s">
        <v>170</v>
      </c>
      <c r="I26" s="1" t="str" cm="1">
        <f t="array" ref="I26">IF(SUMPRODUCT(--ISNUMBER(SEARCH({"박은영","최강록","이정후"},F26)))&gt;0,"O","")</f>
        <v/>
      </c>
      <c r="J26" s="1" t="str" cm="1">
        <f t="array" ref="J26">IF(SUMPRODUCT(--ISNUMBER(SEARCH({"산리오","포차코","마이멜로디","잔망루피","티니핑","KBO"},F26)))&gt;0,"O","")</f>
        <v/>
      </c>
      <c r="K26" s="1" t="str" cm="1">
        <f t="array" ref="K26">IF(SUMPRODUCT(--ISNUMBER(SEARCH({"Dole","추성훈","하정우","안유성","히밥","좀비딸"},F26)))&gt;0,"O","")</f>
        <v/>
      </c>
      <c r="L26" s="1" t="s">
        <v>170</v>
      </c>
    </row>
    <row r="27" spans="1:12" x14ac:dyDescent="0.6">
      <c r="A27" t="s">
        <v>52</v>
      </c>
      <c r="B27">
        <v>24</v>
      </c>
      <c r="C27">
        <v>10</v>
      </c>
      <c r="D27">
        <v>41.7</v>
      </c>
      <c r="E27">
        <v>56442616</v>
      </c>
      <c r="F27" t="s">
        <v>53</v>
      </c>
      <c r="G27" s="1" t="s">
        <v>170</v>
      </c>
      <c r="H27" s="1" t="s">
        <v>170</v>
      </c>
      <c r="I27" s="1" t="str" cm="1">
        <f t="array" ref="I27">IF(SUMPRODUCT(--ISNUMBER(SEARCH({"박은영","최강록","이정후"},F27)))&gt;0,"O","")</f>
        <v/>
      </c>
      <c r="J27" s="1" t="s">
        <v>170</v>
      </c>
      <c r="K27" s="1" t="str" cm="1">
        <f t="array" ref="K27">IF(SUMPRODUCT(--ISNUMBER(SEARCH({"Dole","추성훈","하정우","안유성","히밥","좀비딸"},F27)))&gt;0,"O","")</f>
        <v/>
      </c>
      <c r="L27" s="1" t="str" cm="1">
        <f t="array" ref="L27">IF(SUMPRODUCT(--ISNUMBER(SEARCH({"쪼코쪼코","분홍분홍","노랑노랑","콩닥콩닥","촉촉"},F27)))&gt;0,"O","")</f>
        <v/>
      </c>
    </row>
    <row r="28" spans="1:12" x14ac:dyDescent="0.6">
      <c r="A28" t="s">
        <v>54</v>
      </c>
      <c r="B28">
        <v>22</v>
      </c>
      <c r="C28">
        <v>10</v>
      </c>
      <c r="D28">
        <v>45.5</v>
      </c>
      <c r="E28">
        <v>53949032</v>
      </c>
      <c r="F28" t="s">
        <v>55</v>
      </c>
      <c r="G28" s="1" t="s">
        <v>170</v>
      </c>
      <c r="H28" s="1" t="str" cm="1">
        <f t="array" ref="H28">IF(SUMPRODUCT(--ISNUMBER(SEARCH({"PB)","세븐카페)","세븐일레븐","세븐셀렉트"},F28)))&gt;0,"O","")</f>
        <v/>
      </c>
      <c r="I28" s="1" t="str" cm="1">
        <f t="array" ref="I28">IF(SUMPRODUCT(--ISNUMBER(SEARCH({"박은영","최강록","이정후"},F28)))&gt;0,"O","")</f>
        <v/>
      </c>
      <c r="J28" s="1" t="str" cm="1">
        <f t="array" ref="J28">IF(SUMPRODUCT(--ISNUMBER(SEARCH({"산리오","포차코","마이멜로디","잔망루피","티니핑","KBO"},F28)))&gt;0,"O","")</f>
        <v/>
      </c>
      <c r="K28" s="1" t="str" cm="1">
        <f t="array" ref="K28">IF(SUMPRODUCT(--ISNUMBER(SEARCH({"Dole","추성훈","하정우","안유성","히밥","좀비딸"},F28)))&gt;0,"O","")</f>
        <v/>
      </c>
      <c r="L28" s="1" t="str" cm="1">
        <f t="array" ref="L28">IF(SUMPRODUCT(--ISNUMBER(SEARCH({"쪼코쪼코","분홍분홍","노랑노랑","콩닥콩닥","촉촉"},F28)))&gt;0,"O","")</f>
        <v/>
      </c>
    </row>
    <row r="29" spans="1:12" x14ac:dyDescent="0.6">
      <c r="A29" t="s">
        <v>56</v>
      </c>
      <c r="B29">
        <v>15</v>
      </c>
      <c r="C29">
        <v>10</v>
      </c>
      <c r="D29">
        <v>66.7</v>
      </c>
      <c r="E29">
        <v>51799216</v>
      </c>
      <c r="F29" t="s">
        <v>57</v>
      </c>
      <c r="G29" s="1" t="s">
        <v>170</v>
      </c>
      <c r="H29" s="1" t="str" cm="1">
        <f t="array" ref="H29">IF(SUMPRODUCT(--ISNUMBER(SEARCH({"PB)","세븐카페)","세븐일레븐","세븐셀렉트"},F29)))&gt;0,"O","")</f>
        <v/>
      </c>
      <c r="I29" s="1" t="s">
        <v>170</v>
      </c>
      <c r="J29" s="1" t="s">
        <v>170</v>
      </c>
      <c r="K29" s="1" t="s">
        <v>170</v>
      </c>
      <c r="L29" s="1" t="str" cm="1">
        <f t="array" ref="L29">IF(SUMPRODUCT(--ISNUMBER(SEARCH({"쪼코쪼코","분홍분홍","노랑노랑","콩닥콩닥","촉촉"},F29)))&gt;0,"O","")</f>
        <v/>
      </c>
    </row>
    <row r="30" spans="1:12" x14ac:dyDescent="0.6">
      <c r="A30" t="s">
        <v>60</v>
      </c>
      <c r="B30">
        <v>104</v>
      </c>
      <c r="C30">
        <v>40</v>
      </c>
      <c r="D30">
        <v>38.5</v>
      </c>
      <c r="E30">
        <v>46742788</v>
      </c>
      <c r="F30" t="s">
        <v>176</v>
      </c>
      <c r="G30" s="1" t="str">
        <f t="shared" si="0"/>
        <v/>
      </c>
      <c r="H30" s="1" t="str" cm="1">
        <f t="array" ref="H30">IF(SUMPRODUCT(--ISNUMBER(SEARCH({"PB)","세븐카페)","세븐일레븐","세븐셀렉트"},F30)))&gt;0,"O","")</f>
        <v/>
      </c>
      <c r="I30" s="1" t="str" cm="1">
        <f t="array" ref="I30">IF(SUMPRODUCT(--ISNUMBER(SEARCH({"박은영","최강록","이정후"},F30)))&gt;0,"O","")</f>
        <v/>
      </c>
      <c r="J30" s="1" t="str" cm="1">
        <f t="array" ref="J30">IF(SUMPRODUCT(--ISNUMBER(SEARCH({"산리오","포차코","마이멜로디","잔망루피","티니핑","KBO"},F30)))&gt;0,"O","")</f>
        <v/>
      </c>
      <c r="K30" s="1" t="str" cm="1">
        <f t="array" ref="K30">IF(SUMPRODUCT(--ISNUMBER(SEARCH({"Dole","추성훈","하정우","안유성","히밥","좀비딸"},F30)))&gt;0,"O","")</f>
        <v/>
      </c>
      <c r="L30" s="1" t="str" cm="1">
        <f t="array" ref="L30">IF(SUMPRODUCT(--ISNUMBER(SEARCH({"쪼코쪼코","분홍분홍","노랑노랑","콩닥콩닥","촉촉"},F30)))&gt;0,"O","")</f>
        <v/>
      </c>
    </row>
    <row r="31" spans="1:12" x14ac:dyDescent="0.6">
      <c r="A31" t="s">
        <v>58</v>
      </c>
      <c r="B31">
        <v>34</v>
      </c>
      <c r="C31">
        <v>19</v>
      </c>
      <c r="D31">
        <v>55.9</v>
      </c>
      <c r="E31">
        <v>41848472</v>
      </c>
      <c r="F31" t="s">
        <v>59</v>
      </c>
      <c r="G31" s="1" t="s">
        <v>170</v>
      </c>
      <c r="H31" s="1" t="s">
        <v>170</v>
      </c>
      <c r="I31" s="1" t="str" cm="1">
        <f t="array" ref="I31">IF(SUMPRODUCT(--ISNUMBER(SEARCH({"박은영","최강록","이정후"},F31)))&gt;0,"O","")</f>
        <v/>
      </c>
      <c r="J31" s="1" t="str" cm="1">
        <f t="array" ref="J31">IF(SUMPRODUCT(--ISNUMBER(SEARCH({"산리오","포차코","마이멜로디","잔망루피","티니핑","KBO"},F31)))&gt;0,"O","")</f>
        <v/>
      </c>
      <c r="K31" s="1" t="str" cm="1">
        <f t="array" ref="K31">IF(SUMPRODUCT(--ISNUMBER(SEARCH({"Dole","추성훈","하정우","안유성","히밥","좀비딸"},F31)))&gt;0,"O","")</f>
        <v/>
      </c>
      <c r="L31" s="1" t="s">
        <v>170</v>
      </c>
    </row>
    <row r="32" spans="1:12" x14ac:dyDescent="0.6">
      <c r="A32" t="s">
        <v>67</v>
      </c>
      <c r="B32">
        <v>53</v>
      </c>
      <c r="C32">
        <v>15</v>
      </c>
      <c r="D32">
        <v>28.3</v>
      </c>
      <c r="E32">
        <v>35794872</v>
      </c>
      <c r="F32" t="s">
        <v>177</v>
      </c>
      <c r="G32" s="1" t="s">
        <v>170</v>
      </c>
      <c r="H32" s="1" t="s">
        <v>170</v>
      </c>
      <c r="I32" s="1" t="s">
        <v>170</v>
      </c>
      <c r="J32" s="1" t="str" cm="1">
        <f t="array" ref="J32">IF(SUMPRODUCT(--ISNUMBER(SEARCH({"산리오","포차코","마이멜로디","잔망루피","티니핑","KBO"},F32)))&gt;0,"O","")</f>
        <v/>
      </c>
      <c r="K32" s="1" t="str" cm="1">
        <f t="array" ref="K32">IF(SUMPRODUCT(--ISNUMBER(SEARCH({"Dole","추성훈","하정우","안유성","히밥","좀비딸"},F32)))&gt;0,"O","")</f>
        <v/>
      </c>
      <c r="L32" s="1" t="str" cm="1">
        <f t="array" ref="L32">IF(SUMPRODUCT(--ISNUMBER(SEARCH({"쪼코쪼코","분홍분홍","노랑노랑","콩닥콩닥","촉촉"},F32)))&gt;0,"O","")</f>
        <v/>
      </c>
    </row>
    <row r="33" spans="1:12" x14ac:dyDescent="0.6">
      <c r="A33" t="s">
        <v>61</v>
      </c>
      <c r="B33">
        <v>16</v>
      </c>
      <c r="C33">
        <v>11</v>
      </c>
      <c r="D33">
        <v>68.8</v>
      </c>
      <c r="E33">
        <v>34774432</v>
      </c>
      <c r="F33" t="s">
        <v>62</v>
      </c>
      <c r="G33" s="1" t="s">
        <v>170</v>
      </c>
      <c r="H33" s="1" t="s">
        <v>170</v>
      </c>
      <c r="I33" s="1" t="str" cm="1">
        <f t="array" ref="I33">IF(SUMPRODUCT(--ISNUMBER(SEARCH({"박은영","최강록","이정후"},F33)))&gt;0,"O","")</f>
        <v/>
      </c>
      <c r="J33" s="1" t="str" cm="1">
        <f t="array" ref="J33">IF(SUMPRODUCT(--ISNUMBER(SEARCH({"산리오","포차코","마이멜로디","잔망루피","티니핑","KBO"},F33)))&gt;0,"O","")</f>
        <v/>
      </c>
      <c r="K33" s="1" t="str" cm="1">
        <f t="array" ref="K33">IF(SUMPRODUCT(--ISNUMBER(SEARCH({"Dole","추성훈","하정우","안유성","히밥","좀비딸"},F33)))&gt;0,"O","")</f>
        <v/>
      </c>
      <c r="L33" s="1" t="str" cm="1">
        <f t="array" ref="L33">IF(SUMPRODUCT(--ISNUMBER(SEARCH({"쪼코쪼코","분홍분홍","노랑노랑","콩닥콩닥","촉촉"},F33)))&gt;0,"O","")</f>
        <v/>
      </c>
    </row>
    <row r="34" spans="1:12" x14ac:dyDescent="0.6">
      <c r="A34" t="s">
        <v>63</v>
      </c>
      <c r="B34">
        <v>35</v>
      </c>
      <c r="C34">
        <v>11</v>
      </c>
      <c r="D34">
        <v>31.4</v>
      </c>
      <c r="E34">
        <v>32659908</v>
      </c>
      <c r="F34" t="s">
        <v>64</v>
      </c>
      <c r="G34" s="1" t="s">
        <v>170</v>
      </c>
      <c r="H34" s="1" t="str" cm="1">
        <f t="array" ref="H34">IF(SUMPRODUCT(--ISNUMBER(SEARCH({"PB)","세븐카페)","세븐일레븐","세븐셀렉트"},F34)))&gt;0,"O","")</f>
        <v/>
      </c>
      <c r="I34" s="1" t="s">
        <v>170</v>
      </c>
      <c r="J34" s="1" t="str" cm="1">
        <f t="array" ref="J34">IF(SUMPRODUCT(--ISNUMBER(SEARCH({"산리오","포차코","마이멜로디","잔망루피","티니핑","KBO"},F34)))&gt;0,"O","")</f>
        <v/>
      </c>
      <c r="K34" s="1" t="str" cm="1">
        <f t="array" ref="K34">IF(SUMPRODUCT(--ISNUMBER(SEARCH({"Dole","추성훈","하정우","안유성","히밥","좀비딸"},F34)))&gt;0,"O","")</f>
        <v/>
      </c>
      <c r="L34" s="1" t="str" cm="1">
        <f t="array" ref="L34">IF(SUMPRODUCT(--ISNUMBER(SEARCH({"쪼코쪼코","분홍분홍","노랑노랑","콩닥콩닥","촉촉"},F34)))&gt;0,"O","")</f>
        <v/>
      </c>
    </row>
    <row r="35" spans="1:12" x14ac:dyDescent="0.6">
      <c r="A35" t="s">
        <v>65</v>
      </c>
      <c r="B35">
        <v>22</v>
      </c>
      <c r="C35">
        <v>13</v>
      </c>
      <c r="D35">
        <v>59.1</v>
      </c>
      <c r="E35">
        <v>31120418</v>
      </c>
      <c r="F35" t="s">
        <v>66</v>
      </c>
      <c r="G35" s="1" t="s">
        <v>170</v>
      </c>
      <c r="H35" s="1" t="str" cm="1">
        <f t="array" ref="H35">IF(SUMPRODUCT(--ISNUMBER(SEARCH({"PB)","세븐카페)","세븐일레븐","세븐셀렉트"},F35)))&gt;0,"O","")</f>
        <v/>
      </c>
      <c r="I35" s="1" t="str" cm="1">
        <f t="array" ref="I35">IF(SUMPRODUCT(--ISNUMBER(SEARCH({"박은영","최강록","이정후"},F35)))&gt;0,"O","")</f>
        <v/>
      </c>
      <c r="J35" s="1" t="str" cm="1">
        <f t="array" ref="J35">IF(SUMPRODUCT(--ISNUMBER(SEARCH({"산리오","포차코","마이멜로디","잔망루피","티니핑","KBO"},F35)))&gt;0,"O","")</f>
        <v/>
      </c>
      <c r="K35" s="1" t="str" cm="1">
        <f t="array" ref="K35">IF(SUMPRODUCT(--ISNUMBER(SEARCH({"Dole","추성훈","하정우","안유성","히밥","좀비딸"},F35)))&gt;0,"O","")</f>
        <v/>
      </c>
      <c r="L35" s="1" t="str" cm="1">
        <f t="array" ref="L35">IF(SUMPRODUCT(--ISNUMBER(SEARCH({"쪼코쪼코","분홍분홍","노랑노랑","콩닥콩닥","촉촉"},F35)))&gt;0,"O","")</f>
        <v/>
      </c>
    </row>
    <row r="36" spans="1:12" x14ac:dyDescent="0.6">
      <c r="A36" t="s">
        <v>68</v>
      </c>
      <c r="B36">
        <v>17</v>
      </c>
      <c r="C36">
        <v>7</v>
      </c>
      <c r="D36">
        <v>41.2</v>
      </c>
      <c r="E36">
        <v>24535380</v>
      </c>
      <c r="F36" t="s">
        <v>69</v>
      </c>
      <c r="G36" s="1" t="s">
        <v>170</v>
      </c>
      <c r="H36" s="1" t="s">
        <v>170</v>
      </c>
      <c r="I36" s="1" t="s">
        <v>170</v>
      </c>
      <c r="J36" s="1" t="str" cm="1">
        <f t="array" ref="J36">IF(SUMPRODUCT(--ISNUMBER(SEARCH({"산리오","포차코","마이멜로디","잔망루피","티니핑","KBO"},F36)))&gt;0,"O","")</f>
        <v/>
      </c>
      <c r="K36" s="1" t="str" cm="1">
        <f t="array" ref="K36">IF(SUMPRODUCT(--ISNUMBER(SEARCH({"Dole","추성훈","하정우","안유성","히밥","좀비딸"},F36)))&gt;0,"O","")</f>
        <v/>
      </c>
      <c r="L36" s="1" t="str" cm="1">
        <f t="array" ref="L36">IF(SUMPRODUCT(--ISNUMBER(SEARCH({"쪼코쪼코","분홍분홍","노랑노랑","콩닥콩닥","촉촉"},F36)))&gt;0,"O","")</f>
        <v/>
      </c>
    </row>
    <row r="37" spans="1:12" x14ac:dyDescent="0.6">
      <c r="A37" t="s">
        <v>70</v>
      </c>
      <c r="B37">
        <v>67</v>
      </c>
      <c r="C37">
        <v>11</v>
      </c>
      <c r="D37">
        <v>16.399999999999999</v>
      </c>
      <c r="E37">
        <v>24289860</v>
      </c>
      <c r="F37" t="s">
        <v>178</v>
      </c>
      <c r="G37" s="1" t="str">
        <f t="shared" si="0"/>
        <v/>
      </c>
      <c r="H37" s="1" t="str" cm="1">
        <f t="array" ref="H37">IF(SUMPRODUCT(--ISNUMBER(SEARCH({"PB)","세븐카페)","세븐일레븐","세븐셀렉트"},F37)))&gt;0,"O","")</f>
        <v/>
      </c>
      <c r="I37" s="1" t="str" cm="1">
        <f t="array" ref="I37">IF(SUMPRODUCT(--ISNUMBER(SEARCH({"박은영","최강록","이정후"},F37)))&gt;0,"O","")</f>
        <v/>
      </c>
      <c r="J37" s="1" t="str" cm="1">
        <f t="array" ref="J37">IF(SUMPRODUCT(--ISNUMBER(SEARCH({"산리오","포차코","마이멜로디","잔망루피","티니핑","KBO"},F37)))&gt;0,"O","")</f>
        <v/>
      </c>
      <c r="K37" s="1" t="str" cm="1">
        <f t="array" ref="K37">IF(SUMPRODUCT(--ISNUMBER(SEARCH({"Dole","추성훈","하정우","안유성","히밥","좀비딸"},F37)))&gt;0,"O","")</f>
        <v/>
      </c>
      <c r="L37" s="1" t="str" cm="1">
        <f t="array" ref="L37">IF(SUMPRODUCT(--ISNUMBER(SEARCH({"쪼코쪼코","분홍분홍","노랑노랑","콩닥콩닥","촉촉"},F37)))&gt;0,"O","")</f>
        <v/>
      </c>
    </row>
    <row r="38" spans="1:12" x14ac:dyDescent="0.6">
      <c r="A38" t="s">
        <v>71</v>
      </c>
      <c r="B38">
        <v>16</v>
      </c>
      <c r="C38">
        <v>5</v>
      </c>
      <c r="D38">
        <v>31.2</v>
      </c>
      <c r="E38">
        <v>24178964</v>
      </c>
      <c r="F38" t="s">
        <v>72</v>
      </c>
      <c r="G38" s="1" t="s">
        <v>170</v>
      </c>
      <c r="H38" s="1" t="str" cm="1">
        <f t="array" ref="H38">IF(SUMPRODUCT(--ISNUMBER(SEARCH({"PB)","세븐카페)","세븐일레븐","세븐셀렉트"},F38)))&gt;0,"O","")</f>
        <v/>
      </c>
      <c r="I38" s="1" t="s">
        <v>170</v>
      </c>
      <c r="J38" s="1" t="str" cm="1">
        <f t="array" ref="J38">IF(SUMPRODUCT(--ISNUMBER(SEARCH({"산리오","포차코","마이멜로디","잔망루피","티니핑","KBO"},F38)))&gt;0,"O","")</f>
        <v/>
      </c>
      <c r="K38" s="1" t="str" cm="1">
        <f t="array" ref="K38">IF(SUMPRODUCT(--ISNUMBER(SEARCH({"Dole","추성훈","하정우","안유성","히밥","좀비딸"},F38)))&gt;0,"O","")</f>
        <v/>
      </c>
      <c r="L38" s="1" t="str" cm="1">
        <f t="array" ref="L38">IF(SUMPRODUCT(--ISNUMBER(SEARCH({"쪼코쪼코","분홍분홍","노랑노랑","콩닥콩닥","촉촉"},F38)))&gt;0,"O","")</f>
        <v/>
      </c>
    </row>
    <row r="39" spans="1:12" x14ac:dyDescent="0.6">
      <c r="A39" t="s">
        <v>73</v>
      </c>
      <c r="B39">
        <v>17</v>
      </c>
      <c r="C39">
        <v>8</v>
      </c>
      <c r="D39">
        <v>47.1</v>
      </c>
      <c r="E39">
        <v>24029020</v>
      </c>
      <c r="F39" t="s">
        <v>74</v>
      </c>
      <c r="G39" s="1" t="s">
        <v>170</v>
      </c>
      <c r="H39" s="1" t="str" cm="1">
        <f t="array" ref="H39">IF(SUMPRODUCT(--ISNUMBER(SEARCH({"PB)","세븐카페)","세븐일레븐","세븐셀렉트"},F39)))&gt;0,"O","")</f>
        <v/>
      </c>
      <c r="I39" s="1" t="str" cm="1">
        <f t="array" ref="I39">IF(SUMPRODUCT(--ISNUMBER(SEARCH({"박은영","최강록","이정후"},F39)))&gt;0,"O","")</f>
        <v/>
      </c>
      <c r="J39" s="1" t="s">
        <v>170</v>
      </c>
      <c r="K39" s="1" t="str" cm="1">
        <f t="array" ref="K39">IF(SUMPRODUCT(--ISNUMBER(SEARCH({"Dole","추성훈","하정우","안유성","히밥","좀비딸"},F39)))&gt;0,"O","")</f>
        <v/>
      </c>
      <c r="L39" s="1" t="str" cm="1">
        <f t="array" ref="L39">IF(SUMPRODUCT(--ISNUMBER(SEARCH({"쪼코쪼코","분홍분홍","노랑노랑","콩닥콩닥","촉촉"},F39)))&gt;0,"O","")</f>
        <v/>
      </c>
    </row>
    <row r="40" spans="1:12" x14ac:dyDescent="0.6">
      <c r="A40" t="s">
        <v>75</v>
      </c>
      <c r="B40">
        <v>19</v>
      </c>
      <c r="C40">
        <v>6</v>
      </c>
      <c r="D40">
        <v>31.6</v>
      </c>
      <c r="E40">
        <v>22418612</v>
      </c>
      <c r="F40" t="s">
        <v>76</v>
      </c>
      <c r="G40" s="1" t="s">
        <v>170</v>
      </c>
      <c r="H40" s="1" t="str" cm="1">
        <f t="array" ref="H40">IF(SUMPRODUCT(--ISNUMBER(SEARCH({"PB)","세븐카페)","세븐일레븐","세븐셀렉트"},F40)))&gt;0,"O","")</f>
        <v/>
      </c>
      <c r="I40" s="1" t="str" cm="1">
        <f t="array" ref="I40">IF(SUMPRODUCT(--ISNUMBER(SEARCH({"박은영","최강록","이정후"},F40)))&gt;0,"O","")</f>
        <v/>
      </c>
      <c r="J40" s="1" t="str" cm="1">
        <f t="array" ref="J40">IF(SUMPRODUCT(--ISNUMBER(SEARCH({"산리오","포차코","마이멜로디","잔망루피","티니핑","KBO"},F40)))&gt;0,"O","")</f>
        <v/>
      </c>
      <c r="K40" s="1" t="str" cm="1">
        <f t="array" ref="K40">IF(SUMPRODUCT(--ISNUMBER(SEARCH({"Dole","추성훈","하정우","안유성","히밥","좀비딸"},F40)))&gt;0,"O","")</f>
        <v/>
      </c>
      <c r="L40" s="1" t="str" cm="1">
        <f t="array" ref="L40">IF(SUMPRODUCT(--ISNUMBER(SEARCH({"쪼코쪼코","분홍분홍","노랑노랑","콩닥콩닥","촉촉"},F40)))&gt;0,"O","")</f>
        <v/>
      </c>
    </row>
    <row r="41" spans="1:12" x14ac:dyDescent="0.6">
      <c r="A41" t="s">
        <v>77</v>
      </c>
      <c r="B41">
        <v>38</v>
      </c>
      <c r="C41">
        <v>11</v>
      </c>
      <c r="D41">
        <v>28.9</v>
      </c>
      <c r="E41">
        <v>22234560</v>
      </c>
      <c r="F41" t="s">
        <v>78</v>
      </c>
      <c r="G41" s="1" t="str">
        <f t="shared" si="0"/>
        <v/>
      </c>
      <c r="H41" s="1" t="str" cm="1">
        <f t="array" ref="H41">IF(SUMPRODUCT(--ISNUMBER(SEARCH({"PB)","세븐카페)","세븐일레븐","세븐셀렉트"},F41)))&gt;0,"O","")</f>
        <v/>
      </c>
      <c r="I41" s="1" t="str" cm="1">
        <f t="array" ref="I41">IF(SUMPRODUCT(--ISNUMBER(SEARCH({"박은영","최강록","이정후"},F41)))&gt;0,"O","")</f>
        <v/>
      </c>
      <c r="J41" s="1" t="str" cm="1">
        <f t="array" ref="J41">IF(SUMPRODUCT(--ISNUMBER(SEARCH({"산리오","포차코","마이멜로디","잔망루피","티니핑","KBO"},F41)))&gt;0,"O","")</f>
        <v/>
      </c>
      <c r="K41" s="1" t="str" cm="1">
        <f t="array" ref="K41">IF(SUMPRODUCT(--ISNUMBER(SEARCH({"Dole","추성훈","하정우","안유성","히밥","좀비딸"},F41)))&gt;0,"O","")</f>
        <v/>
      </c>
      <c r="L41" s="1" t="str" cm="1">
        <f t="array" ref="L41">IF(SUMPRODUCT(--ISNUMBER(SEARCH({"쪼코쪼코","분홍분홍","노랑노랑","콩닥콩닥","촉촉"},F41)))&gt;0,"O","")</f>
        <v/>
      </c>
    </row>
    <row r="42" spans="1:12" x14ac:dyDescent="0.6">
      <c r="A42" t="s">
        <v>79</v>
      </c>
      <c r="B42">
        <v>25</v>
      </c>
      <c r="C42">
        <v>9</v>
      </c>
      <c r="D42">
        <v>36</v>
      </c>
      <c r="E42">
        <v>22057128</v>
      </c>
      <c r="F42" t="s">
        <v>179</v>
      </c>
      <c r="G42" s="1" t="str">
        <f t="shared" si="0"/>
        <v/>
      </c>
      <c r="H42" s="1" t="str" cm="1">
        <f t="array" ref="H42">IF(SUMPRODUCT(--ISNUMBER(SEARCH({"PB)","세븐카페)","세븐일레븐","세븐셀렉트"},F42)))&gt;0,"O","")</f>
        <v/>
      </c>
      <c r="I42" s="1" t="str" cm="1">
        <f t="array" ref="I42">IF(SUMPRODUCT(--ISNUMBER(SEARCH({"박은영","최강록","이정후"},F42)))&gt;0,"O","")</f>
        <v/>
      </c>
      <c r="J42" s="1" t="str" cm="1">
        <f t="array" ref="J42">IF(SUMPRODUCT(--ISNUMBER(SEARCH({"산리오","포차코","마이멜로디","잔망루피","티니핑","KBO"},F42)))&gt;0,"O","")</f>
        <v/>
      </c>
      <c r="K42" s="1" t="str" cm="1">
        <f t="array" ref="K42">IF(SUMPRODUCT(--ISNUMBER(SEARCH({"Dole","추성훈","하정우","안유성","히밥","좀비딸"},F42)))&gt;0,"O","")</f>
        <v/>
      </c>
      <c r="L42" s="1" t="str" cm="1">
        <f t="array" ref="L42">IF(SUMPRODUCT(--ISNUMBER(SEARCH({"쪼코쪼코","분홍분홍","노랑노랑","콩닥콩닥","촉촉"},F42)))&gt;0,"O","")</f>
        <v/>
      </c>
    </row>
    <row r="43" spans="1:12" x14ac:dyDescent="0.6">
      <c r="A43" t="s">
        <v>80</v>
      </c>
      <c r="B43">
        <v>16</v>
      </c>
      <c r="C43">
        <v>8</v>
      </c>
      <c r="D43">
        <v>50</v>
      </c>
      <c r="E43">
        <v>21799252</v>
      </c>
      <c r="F43" t="s">
        <v>81</v>
      </c>
      <c r="G43" s="1" t="str">
        <f t="shared" si="0"/>
        <v/>
      </c>
      <c r="H43" s="1" t="str" cm="1">
        <f t="array" ref="H43">IF(SUMPRODUCT(--ISNUMBER(SEARCH({"PB)","세븐카페)","세븐일레븐","세븐셀렉트"},F43)))&gt;0,"O","")</f>
        <v/>
      </c>
      <c r="I43" s="1" t="str" cm="1">
        <f t="array" ref="I43">IF(SUMPRODUCT(--ISNUMBER(SEARCH({"박은영","최강록","이정후"},F43)))&gt;0,"O","")</f>
        <v/>
      </c>
      <c r="J43" s="1" t="str" cm="1">
        <f t="array" ref="J43">IF(SUMPRODUCT(--ISNUMBER(SEARCH({"산리오","포차코","마이멜로디","잔망루피","티니핑","KBO"},F43)))&gt;0,"O","")</f>
        <v/>
      </c>
      <c r="K43" s="1" t="str" cm="1">
        <f t="array" ref="K43">IF(SUMPRODUCT(--ISNUMBER(SEARCH({"Dole","추성훈","하정우","안유성","히밥","좀비딸"},F43)))&gt;0,"O","")</f>
        <v/>
      </c>
      <c r="L43" s="1" t="str" cm="1">
        <f t="array" ref="L43">IF(SUMPRODUCT(--ISNUMBER(SEARCH({"쪼코쪼코","분홍분홍","노랑노랑","콩닥콩닥","촉촉"},F43)))&gt;0,"O","")</f>
        <v/>
      </c>
    </row>
    <row r="44" spans="1:12" x14ac:dyDescent="0.6">
      <c r="A44" t="s">
        <v>82</v>
      </c>
      <c r="B44">
        <v>8</v>
      </c>
      <c r="C44">
        <v>3</v>
      </c>
      <c r="D44">
        <v>37.5</v>
      </c>
      <c r="E44">
        <v>21337718</v>
      </c>
      <c r="F44" t="s">
        <v>83</v>
      </c>
      <c r="G44" s="1" t="str">
        <f t="shared" si="0"/>
        <v/>
      </c>
      <c r="H44" s="1" t="str" cm="1">
        <f t="array" ref="H44">IF(SUMPRODUCT(--ISNUMBER(SEARCH({"PB)","세븐카페)","세븐일레븐","세븐셀렉트"},F44)))&gt;0,"O","")</f>
        <v/>
      </c>
      <c r="I44" s="1" t="str" cm="1">
        <f t="array" ref="I44">IF(SUMPRODUCT(--ISNUMBER(SEARCH({"박은영","최강록","이정후"},F44)))&gt;0,"O","")</f>
        <v/>
      </c>
      <c r="J44" s="1" t="str" cm="1">
        <f t="array" ref="J44">IF(SUMPRODUCT(--ISNUMBER(SEARCH({"산리오","포차코","마이멜로디","잔망루피","티니핑","KBO"},F44)))&gt;0,"O","")</f>
        <v/>
      </c>
      <c r="K44" s="1" t="str" cm="1">
        <f t="array" ref="K44">IF(SUMPRODUCT(--ISNUMBER(SEARCH({"Dole","추성훈","하정우","안유성","히밥","좀비딸"},F44)))&gt;0,"O","")</f>
        <v/>
      </c>
      <c r="L44" s="1" t="str" cm="1">
        <f t="array" ref="L44">IF(SUMPRODUCT(--ISNUMBER(SEARCH({"쪼코쪼코","분홍분홍","노랑노랑","콩닥콩닥","촉촉"},F44)))&gt;0,"O","")</f>
        <v/>
      </c>
    </row>
    <row r="45" spans="1:12" x14ac:dyDescent="0.6">
      <c r="A45" t="s">
        <v>84</v>
      </c>
      <c r="B45">
        <v>39</v>
      </c>
      <c r="C45">
        <v>9</v>
      </c>
      <c r="D45">
        <v>23.1</v>
      </c>
      <c r="E45">
        <v>20184818</v>
      </c>
      <c r="F45" t="s">
        <v>85</v>
      </c>
      <c r="G45" s="1" t="str">
        <f t="shared" si="0"/>
        <v/>
      </c>
      <c r="H45" s="1" t="str" cm="1">
        <f t="array" ref="H45">IF(SUMPRODUCT(--ISNUMBER(SEARCH({"PB)","세븐카페)","세븐일레븐","세븐셀렉트"},F45)))&gt;0,"O","")</f>
        <v/>
      </c>
      <c r="I45" s="1" t="str" cm="1">
        <f t="array" ref="I45">IF(SUMPRODUCT(--ISNUMBER(SEARCH({"박은영","최강록","이정후"},F45)))&gt;0,"O","")</f>
        <v/>
      </c>
      <c r="J45" s="1" t="str" cm="1">
        <f t="array" ref="J45">IF(SUMPRODUCT(--ISNUMBER(SEARCH({"산리오","포차코","마이멜로디","잔망루피","티니핑","KBO"},F45)))&gt;0,"O","")</f>
        <v/>
      </c>
      <c r="K45" s="1" t="str" cm="1">
        <f t="array" ref="K45">IF(SUMPRODUCT(--ISNUMBER(SEARCH({"Dole","추성훈","하정우","안유성","히밥","좀비딸"},F45)))&gt;0,"O","")</f>
        <v/>
      </c>
      <c r="L45" s="1" t="str" cm="1">
        <f t="array" ref="L45">IF(SUMPRODUCT(--ISNUMBER(SEARCH({"쪼코쪼코","분홍분홍","노랑노랑","콩닥콩닥","촉촉"},F45)))&gt;0,"O","")</f>
        <v/>
      </c>
    </row>
    <row r="46" spans="1:12" x14ac:dyDescent="0.6">
      <c r="A46" t="s">
        <v>180</v>
      </c>
      <c r="B46">
        <v>7</v>
      </c>
      <c r="C46">
        <v>5</v>
      </c>
      <c r="D46">
        <v>71.400000000000006</v>
      </c>
      <c r="E46">
        <v>19219432</v>
      </c>
      <c r="F46" t="s">
        <v>86</v>
      </c>
      <c r="G46" s="1" t="s">
        <v>170</v>
      </c>
      <c r="H46" s="1" t="s">
        <v>170</v>
      </c>
      <c r="I46" s="1" t="str" cm="1">
        <f t="array" ref="I46">IF(SUMPRODUCT(--ISNUMBER(SEARCH({"박은영","최강록","이정후"},F46)))&gt;0,"O","")</f>
        <v/>
      </c>
      <c r="J46" s="1" t="str" cm="1">
        <f t="array" ref="J46">IF(SUMPRODUCT(--ISNUMBER(SEARCH({"산리오","포차코","마이멜로디","잔망루피","티니핑","KBO"},F46)))&gt;0,"O","")</f>
        <v/>
      </c>
      <c r="K46" s="1" t="str" cm="1">
        <f t="array" ref="K46">IF(SUMPRODUCT(--ISNUMBER(SEARCH({"Dole","추성훈","하정우","안유성","히밥","좀비딸"},F46)))&gt;0,"O","")</f>
        <v/>
      </c>
      <c r="L46" s="1" t="str" cm="1">
        <f t="array" ref="L46">IF(SUMPRODUCT(--ISNUMBER(SEARCH({"쪼코쪼코","분홍분홍","노랑노랑","콩닥콩닥","촉촉"},F46)))&gt;0,"O","")</f>
        <v/>
      </c>
    </row>
    <row r="47" spans="1:12" x14ac:dyDescent="0.6">
      <c r="A47" t="s">
        <v>87</v>
      </c>
      <c r="B47">
        <v>33</v>
      </c>
      <c r="C47">
        <v>13</v>
      </c>
      <c r="D47">
        <v>39.4</v>
      </c>
      <c r="E47">
        <v>18994872</v>
      </c>
      <c r="F47" t="s">
        <v>88</v>
      </c>
      <c r="G47" s="1" t="s">
        <v>170</v>
      </c>
      <c r="H47" s="1" t="str" cm="1">
        <f t="array" ref="H47">IF(SUMPRODUCT(--ISNUMBER(SEARCH({"PB)","세븐카페)","세븐일레븐","세븐셀렉트"},F47)))&gt;0,"O","")</f>
        <v/>
      </c>
      <c r="I47" s="1" t="str" cm="1">
        <f t="array" ref="I47">IF(SUMPRODUCT(--ISNUMBER(SEARCH({"박은영","최강록","이정후"},F47)))&gt;0,"O","")</f>
        <v/>
      </c>
      <c r="J47" s="1" t="str" cm="1">
        <f t="array" ref="J47">IF(SUMPRODUCT(--ISNUMBER(SEARCH({"산리오","포차코","마이멜로디","잔망루피","티니핑","KBO"},F47)))&gt;0,"O","")</f>
        <v/>
      </c>
      <c r="K47" s="1" t="str" cm="1">
        <f t="array" ref="K47">IF(SUMPRODUCT(--ISNUMBER(SEARCH({"Dole","추성훈","하정우","안유성","히밥","좀비딸"},F47)))&gt;0,"O","")</f>
        <v/>
      </c>
      <c r="L47" s="1" t="str" cm="1">
        <f t="array" ref="L47">IF(SUMPRODUCT(--ISNUMBER(SEARCH({"쪼코쪼코","분홍분홍","노랑노랑","콩닥콩닥","촉촉"},F47)))&gt;0,"O","")</f>
        <v/>
      </c>
    </row>
    <row r="48" spans="1:12" x14ac:dyDescent="0.6">
      <c r="A48" t="s">
        <v>89</v>
      </c>
      <c r="B48">
        <v>31</v>
      </c>
      <c r="C48">
        <v>18</v>
      </c>
      <c r="D48">
        <v>58.1</v>
      </c>
      <c r="E48">
        <v>17863978</v>
      </c>
      <c r="F48" t="s">
        <v>90</v>
      </c>
      <c r="G48" s="1" t="s">
        <v>170</v>
      </c>
      <c r="H48" s="1" t="s">
        <v>170</v>
      </c>
      <c r="I48" s="1" t="str" cm="1">
        <f t="array" ref="I48">IF(SUMPRODUCT(--ISNUMBER(SEARCH({"박은영","최강록","이정후"},F48)))&gt;0,"O","")</f>
        <v/>
      </c>
      <c r="J48" s="1" t="str" cm="1">
        <f t="array" ref="J48">IF(SUMPRODUCT(--ISNUMBER(SEARCH({"산리오","포차코","마이멜로디","잔망루피","티니핑","KBO"},F48)))&gt;0,"O","")</f>
        <v/>
      </c>
      <c r="K48" s="1" t="s">
        <v>170</v>
      </c>
      <c r="L48" s="1" t="str" cm="1">
        <f t="array" ref="L48">IF(SUMPRODUCT(--ISNUMBER(SEARCH({"쪼코쪼코","분홍분홍","노랑노랑","콩닥콩닥","촉촉"},F48)))&gt;0,"O","")</f>
        <v/>
      </c>
    </row>
    <row r="49" spans="1:12" x14ac:dyDescent="0.6">
      <c r="A49" t="s">
        <v>91</v>
      </c>
      <c r="B49">
        <v>40</v>
      </c>
      <c r="C49">
        <v>11</v>
      </c>
      <c r="D49">
        <v>27.5</v>
      </c>
      <c r="E49">
        <v>16440737</v>
      </c>
      <c r="F49" t="s">
        <v>92</v>
      </c>
      <c r="G49" s="1" t="str">
        <f t="shared" si="0"/>
        <v/>
      </c>
      <c r="H49" s="1" t="str" cm="1">
        <f t="array" ref="H49">IF(SUMPRODUCT(--ISNUMBER(SEARCH({"PB)","세븐카페)","세븐일레븐","세븐셀렉트"},F49)))&gt;0,"O","")</f>
        <v/>
      </c>
      <c r="I49" s="1" t="str" cm="1">
        <f t="array" ref="I49">IF(SUMPRODUCT(--ISNUMBER(SEARCH({"박은영","최강록","이정후"},F49)))&gt;0,"O","")</f>
        <v/>
      </c>
      <c r="J49" s="1" t="str" cm="1">
        <f t="array" ref="J49">IF(SUMPRODUCT(--ISNUMBER(SEARCH({"산리오","포차코","마이멜로디","잔망루피","티니핑","KBO"},F49)))&gt;0,"O","")</f>
        <v/>
      </c>
      <c r="K49" s="1" t="str" cm="1">
        <f t="array" ref="K49">IF(SUMPRODUCT(--ISNUMBER(SEARCH({"Dole","추성훈","하정우","안유성","히밥","좀비딸"},F49)))&gt;0,"O","")</f>
        <v/>
      </c>
      <c r="L49" s="1" t="str" cm="1">
        <f t="array" ref="L49">IF(SUMPRODUCT(--ISNUMBER(SEARCH({"쪼코쪼코","분홍분홍","노랑노랑","콩닥콩닥","촉촉"},F49)))&gt;0,"O","")</f>
        <v/>
      </c>
    </row>
    <row r="50" spans="1:12" x14ac:dyDescent="0.6">
      <c r="A50" t="s">
        <v>93</v>
      </c>
      <c r="B50">
        <v>8</v>
      </c>
      <c r="C50">
        <v>3</v>
      </c>
      <c r="D50">
        <v>37.5</v>
      </c>
      <c r="E50">
        <v>14863179</v>
      </c>
      <c r="F50" t="s">
        <v>94</v>
      </c>
      <c r="G50" s="1" t="str">
        <f t="shared" si="0"/>
        <v/>
      </c>
      <c r="H50" s="1" t="str" cm="1">
        <f t="array" ref="H50">IF(SUMPRODUCT(--ISNUMBER(SEARCH({"PB)","세븐카페)","세븐일레븐","세븐셀렉트"},F50)))&gt;0,"O","")</f>
        <v/>
      </c>
      <c r="I50" s="1" t="str" cm="1">
        <f t="array" ref="I50">IF(SUMPRODUCT(--ISNUMBER(SEARCH({"박은영","최강록","이정후"},F50)))&gt;0,"O","")</f>
        <v/>
      </c>
      <c r="J50" s="1" t="str" cm="1">
        <f t="array" ref="J50">IF(SUMPRODUCT(--ISNUMBER(SEARCH({"산리오","포차코","마이멜로디","잔망루피","티니핑","KBO"},F50)))&gt;0,"O","")</f>
        <v/>
      </c>
      <c r="K50" s="1" t="str" cm="1">
        <f t="array" ref="K50">IF(SUMPRODUCT(--ISNUMBER(SEARCH({"Dole","추성훈","하정우","안유성","히밥","좀비딸"},F50)))&gt;0,"O","")</f>
        <v/>
      </c>
      <c r="L50" s="1" t="str" cm="1">
        <f t="array" ref="L50">IF(SUMPRODUCT(--ISNUMBER(SEARCH({"쪼코쪼코","분홍분홍","노랑노랑","콩닥콩닥","촉촉"},F50)))&gt;0,"O","")</f>
        <v/>
      </c>
    </row>
    <row r="51" spans="1:12" x14ac:dyDescent="0.6">
      <c r="A51" t="s">
        <v>95</v>
      </c>
      <c r="B51">
        <v>18</v>
      </c>
      <c r="C51">
        <v>8</v>
      </c>
      <c r="D51">
        <v>44.4</v>
      </c>
      <c r="E51">
        <v>14325254</v>
      </c>
      <c r="F51" t="s">
        <v>96</v>
      </c>
      <c r="G51" s="1" t="s">
        <v>170</v>
      </c>
      <c r="H51" s="1" t="s">
        <v>170</v>
      </c>
      <c r="I51" s="1" t="str" cm="1">
        <f t="array" ref="I51">IF(SUMPRODUCT(--ISNUMBER(SEARCH({"박은영","최강록","이정후"},F51)))&gt;0,"O","")</f>
        <v/>
      </c>
      <c r="J51" s="1" t="str" cm="1">
        <f t="array" ref="J51">IF(SUMPRODUCT(--ISNUMBER(SEARCH({"산리오","포차코","마이멜로디","잔망루피","티니핑","KBO"},F51)))&gt;0,"O","")</f>
        <v/>
      </c>
      <c r="K51" s="1" t="str" cm="1">
        <f t="array" ref="K51">IF(SUMPRODUCT(--ISNUMBER(SEARCH({"Dole","추성훈","하정우","안유성","히밥","좀비딸"},F51)))&gt;0,"O","")</f>
        <v/>
      </c>
      <c r="L51" s="1" t="s">
        <v>170</v>
      </c>
    </row>
    <row r="52" spans="1:12" x14ac:dyDescent="0.6">
      <c r="A52" t="s">
        <v>126</v>
      </c>
      <c r="B52">
        <v>42</v>
      </c>
      <c r="C52">
        <v>15</v>
      </c>
      <c r="D52">
        <v>35.700000000000003</v>
      </c>
      <c r="E52">
        <v>14205295</v>
      </c>
      <c r="F52" t="s">
        <v>181</v>
      </c>
      <c r="G52" s="1" t="str">
        <f t="shared" si="0"/>
        <v/>
      </c>
      <c r="H52" s="1" t="str" cm="1">
        <f t="array" ref="H52">IF(SUMPRODUCT(--ISNUMBER(SEARCH({"PB)","세븐카페)","세븐일레븐","세븐셀렉트"},F52)))&gt;0,"O","")</f>
        <v/>
      </c>
      <c r="I52" s="1" t="str" cm="1">
        <f t="array" ref="I52">IF(SUMPRODUCT(--ISNUMBER(SEARCH({"박은영","최강록","이정후"},F52)))&gt;0,"O","")</f>
        <v/>
      </c>
      <c r="J52" s="1" t="str" cm="1">
        <f t="array" ref="J52">IF(SUMPRODUCT(--ISNUMBER(SEARCH({"산리오","포차코","마이멜로디","잔망루피","티니핑","KBO"},F52)))&gt;0,"O","")</f>
        <v/>
      </c>
      <c r="K52" s="1" t="str" cm="1">
        <f t="array" ref="K52">IF(SUMPRODUCT(--ISNUMBER(SEARCH({"Dole","추성훈","하정우","안유성","히밥","좀비딸"},F52)))&gt;0,"O","")</f>
        <v/>
      </c>
      <c r="L52" s="1" t="str" cm="1">
        <f t="array" ref="L52">IF(SUMPRODUCT(--ISNUMBER(SEARCH({"쪼코쪼코","분홍분홍","노랑노랑","콩닥콩닥","촉촉"},F52)))&gt;0,"O","")</f>
        <v/>
      </c>
    </row>
    <row r="53" spans="1:12" x14ac:dyDescent="0.6">
      <c r="A53" t="s">
        <v>99</v>
      </c>
      <c r="B53">
        <v>19</v>
      </c>
      <c r="C53">
        <v>4</v>
      </c>
      <c r="D53">
        <v>21.1</v>
      </c>
      <c r="E53">
        <v>14000965</v>
      </c>
      <c r="F53" t="s">
        <v>182</v>
      </c>
      <c r="G53" s="1" t="str">
        <f t="shared" si="0"/>
        <v/>
      </c>
      <c r="H53" s="1" t="str" cm="1">
        <f t="array" ref="H53">IF(SUMPRODUCT(--ISNUMBER(SEARCH({"PB)","세븐카페)","세븐일레븐","세븐셀렉트"},F53)))&gt;0,"O","")</f>
        <v/>
      </c>
      <c r="I53" s="1" t="str" cm="1">
        <f t="array" ref="I53">IF(SUMPRODUCT(--ISNUMBER(SEARCH({"박은영","최강록","이정후"},F53)))&gt;0,"O","")</f>
        <v/>
      </c>
      <c r="J53" s="1" t="str" cm="1">
        <f t="array" ref="J53">IF(SUMPRODUCT(--ISNUMBER(SEARCH({"산리오","포차코","마이멜로디","잔망루피","티니핑","KBO"},F53)))&gt;0,"O","")</f>
        <v/>
      </c>
      <c r="K53" s="1" t="str" cm="1">
        <f t="array" ref="K53">IF(SUMPRODUCT(--ISNUMBER(SEARCH({"Dole","추성훈","하정우","안유성","히밥","좀비딸"},F53)))&gt;0,"O","")</f>
        <v/>
      </c>
      <c r="L53" s="1" t="str" cm="1">
        <f t="array" ref="L53">IF(SUMPRODUCT(--ISNUMBER(SEARCH({"쪼코쪼코","분홍분홍","노랑노랑","콩닥콩닥","촉촉"},F53)))&gt;0,"O","")</f>
        <v/>
      </c>
    </row>
    <row r="54" spans="1:12" x14ac:dyDescent="0.6">
      <c r="A54" t="s">
        <v>97</v>
      </c>
      <c r="B54">
        <v>16</v>
      </c>
      <c r="C54">
        <v>2</v>
      </c>
      <c r="D54">
        <v>12.5</v>
      </c>
      <c r="E54">
        <v>13947485</v>
      </c>
      <c r="F54" t="s">
        <v>98</v>
      </c>
      <c r="G54" s="1" t="str">
        <f t="shared" si="0"/>
        <v/>
      </c>
      <c r="H54" s="1" t="str" cm="1">
        <f t="array" ref="H54">IF(SUMPRODUCT(--ISNUMBER(SEARCH({"PB)","세븐카페)","세븐일레븐","세븐셀렉트"},F54)))&gt;0,"O","")</f>
        <v/>
      </c>
      <c r="I54" s="1" t="str" cm="1">
        <f t="array" ref="I54">IF(SUMPRODUCT(--ISNUMBER(SEARCH({"박은영","최강록","이정후"},F54)))&gt;0,"O","")</f>
        <v/>
      </c>
      <c r="J54" s="1" t="str" cm="1">
        <f t="array" ref="J54">IF(SUMPRODUCT(--ISNUMBER(SEARCH({"산리오","포차코","마이멜로디","잔망루피","티니핑","KBO"},F54)))&gt;0,"O","")</f>
        <v/>
      </c>
      <c r="K54" s="1" t="str" cm="1">
        <f t="array" ref="K54">IF(SUMPRODUCT(--ISNUMBER(SEARCH({"Dole","추성훈","하정우","안유성","히밥","좀비딸"},F54)))&gt;0,"O","")</f>
        <v/>
      </c>
      <c r="L54" s="1" t="str" cm="1">
        <f t="array" ref="L54">IF(SUMPRODUCT(--ISNUMBER(SEARCH({"쪼코쪼코","분홍분홍","노랑노랑","콩닥콩닥","촉촉"},F54)))&gt;0,"O","")</f>
        <v/>
      </c>
    </row>
    <row r="55" spans="1:12" x14ac:dyDescent="0.6">
      <c r="A55" t="s">
        <v>163</v>
      </c>
      <c r="B55">
        <v>41</v>
      </c>
      <c r="C55">
        <v>12</v>
      </c>
      <c r="D55">
        <v>29.3</v>
      </c>
      <c r="E55">
        <v>13039236</v>
      </c>
      <c r="F55" t="s">
        <v>183</v>
      </c>
      <c r="G55" s="1" t="str">
        <f t="shared" si="0"/>
        <v/>
      </c>
      <c r="H55" s="1" t="str" cm="1">
        <f t="array" ref="H55">IF(SUMPRODUCT(--ISNUMBER(SEARCH({"PB)","세븐카페)","세븐일레븐","세븐셀렉트"},F55)))&gt;0,"O","")</f>
        <v/>
      </c>
      <c r="I55" s="1" t="str" cm="1">
        <f t="array" ref="I55">IF(SUMPRODUCT(--ISNUMBER(SEARCH({"박은영","최강록","이정후"},F55)))&gt;0,"O","")</f>
        <v/>
      </c>
      <c r="J55" s="1" t="str" cm="1">
        <f t="array" ref="J55">IF(SUMPRODUCT(--ISNUMBER(SEARCH({"산리오","포차코","마이멜로디","잔망루피","티니핑","KBO"},F55)))&gt;0,"O","")</f>
        <v/>
      </c>
      <c r="K55" s="1" t="str" cm="1">
        <f t="array" ref="K55">IF(SUMPRODUCT(--ISNUMBER(SEARCH({"Dole","추성훈","하정우","안유성","히밥","좀비딸"},F55)))&gt;0,"O","")</f>
        <v/>
      </c>
      <c r="L55" s="1" t="str" cm="1">
        <f t="array" ref="L55">IF(SUMPRODUCT(--ISNUMBER(SEARCH({"쪼코쪼코","분홍분홍","노랑노랑","콩닥콩닥","촉촉"},F55)))&gt;0,"O","")</f>
        <v/>
      </c>
    </row>
    <row r="56" spans="1:12" x14ac:dyDescent="0.6">
      <c r="A56" t="s">
        <v>100</v>
      </c>
      <c r="B56">
        <v>18</v>
      </c>
      <c r="C56">
        <v>7</v>
      </c>
      <c r="D56">
        <v>38.9</v>
      </c>
      <c r="E56">
        <v>12652789</v>
      </c>
      <c r="F56" t="s">
        <v>101</v>
      </c>
      <c r="G56" s="1" t="s">
        <v>170</v>
      </c>
      <c r="H56" s="1" t="str" cm="1">
        <f t="array" ref="H56">IF(SUMPRODUCT(--ISNUMBER(SEARCH({"PB)","세븐카페)","세븐일레븐","세븐셀렉트"},F56)))&gt;0,"O","")</f>
        <v/>
      </c>
      <c r="I56" s="1" t="str" cm="1">
        <f t="array" ref="I56">IF(SUMPRODUCT(--ISNUMBER(SEARCH({"박은영","최강록","이정후"},F56)))&gt;0,"O","")</f>
        <v/>
      </c>
      <c r="J56" s="1" t="str" cm="1">
        <f t="array" ref="J56">IF(SUMPRODUCT(--ISNUMBER(SEARCH({"산리오","포차코","마이멜로디","잔망루피","티니핑","KBO"},F56)))&gt;0,"O","")</f>
        <v/>
      </c>
      <c r="K56" s="1" t="str" cm="1">
        <f t="array" ref="K56">IF(SUMPRODUCT(--ISNUMBER(SEARCH({"Dole","추성훈","하정우","안유성","히밥","좀비딸"},F56)))&gt;0,"O","")</f>
        <v/>
      </c>
      <c r="L56" s="1" t="str" cm="1">
        <f t="array" ref="L56">IF(SUMPRODUCT(--ISNUMBER(SEARCH({"쪼코쪼코","분홍분홍","노랑노랑","콩닥콩닥","촉촉"},F56)))&gt;0,"O","")</f>
        <v/>
      </c>
    </row>
    <row r="57" spans="1:12" x14ac:dyDescent="0.6">
      <c r="A57" t="s">
        <v>102</v>
      </c>
      <c r="B57">
        <v>14</v>
      </c>
      <c r="C57">
        <v>3</v>
      </c>
      <c r="D57">
        <v>21.4</v>
      </c>
      <c r="E57">
        <v>11498910</v>
      </c>
      <c r="F57" t="s">
        <v>103</v>
      </c>
      <c r="G57" s="1" t="str">
        <f t="shared" si="0"/>
        <v/>
      </c>
      <c r="H57" s="1" t="str" cm="1">
        <f t="array" ref="H57">IF(SUMPRODUCT(--ISNUMBER(SEARCH({"PB)","세븐카페)","세븐일레븐","세븐셀렉트"},F57)))&gt;0,"O","")</f>
        <v/>
      </c>
      <c r="I57" s="1" t="str" cm="1">
        <f t="array" ref="I57">IF(SUMPRODUCT(--ISNUMBER(SEARCH({"박은영","최강록","이정후"},F57)))&gt;0,"O","")</f>
        <v/>
      </c>
      <c r="J57" s="1" t="str" cm="1">
        <f t="array" ref="J57">IF(SUMPRODUCT(--ISNUMBER(SEARCH({"산리오","포차코","마이멜로디","잔망루피","티니핑","KBO"},F57)))&gt;0,"O","")</f>
        <v/>
      </c>
      <c r="K57" s="1" t="str" cm="1">
        <f t="array" ref="K57">IF(SUMPRODUCT(--ISNUMBER(SEARCH({"Dole","추성훈","하정우","안유성","히밥","좀비딸"},F57)))&gt;0,"O","")</f>
        <v/>
      </c>
      <c r="L57" s="1" t="str" cm="1">
        <f t="array" ref="L57">IF(SUMPRODUCT(--ISNUMBER(SEARCH({"쪼코쪼코","분홍분홍","노랑노랑","콩닥콩닥","촉촉"},F57)))&gt;0,"O","")</f>
        <v/>
      </c>
    </row>
    <row r="58" spans="1:12" x14ac:dyDescent="0.6">
      <c r="A58" t="s">
        <v>104</v>
      </c>
      <c r="B58">
        <v>13</v>
      </c>
      <c r="C58">
        <v>5</v>
      </c>
      <c r="D58">
        <v>38.5</v>
      </c>
      <c r="E58">
        <v>11433570</v>
      </c>
      <c r="F58" t="s">
        <v>105</v>
      </c>
      <c r="G58" s="1" t="str">
        <f t="shared" si="0"/>
        <v/>
      </c>
      <c r="H58" s="1" t="str" cm="1">
        <f t="array" ref="H58">IF(SUMPRODUCT(--ISNUMBER(SEARCH({"PB)","세븐카페)","세븐일레븐","세븐셀렉트"},F58)))&gt;0,"O","")</f>
        <v/>
      </c>
      <c r="I58" s="1" t="str" cm="1">
        <f t="array" ref="I58">IF(SUMPRODUCT(--ISNUMBER(SEARCH({"박은영","최강록","이정후"},F58)))&gt;0,"O","")</f>
        <v/>
      </c>
      <c r="J58" s="1" t="str" cm="1">
        <f t="array" ref="J58">IF(SUMPRODUCT(--ISNUMBER(SEARCH({"산리오","포차코","마이멜로디","잔망루피","티니핑","KBO"},F58)))&gt;0,"O","")</f>
        <v/>
      </c>
      <c r="K58" s="1" t="str" cm="1">
        <f t="array" ref="K58">IF(SUMPRODUCT(--ISNUMBER(SEARCH({"Dole","추성훈","하정우","안유성","히밥","좀비딸"},F58)))&gt;0,"O","")</f>
        <v/>
      </c>
      <c r="L58" s="1" t="str" cm="1">
        <f t="array" ref="L58">IF(SUMPRODUCT(--ISNUMBER(SEARCH({"쪼코쪼코","분홍분홍","노랑노랑","콩닥콩닥","촉촉"},F58)))&gt;0,"O","")</f>
        <v/>
      </c>
    </row>
    <row r="59" spans="1:12" x14ac:dyDescent="0.6">
      <c r="A59" t="s">
        <v>106</v>
      </c>
      <c r="B59">
        <v>10</v>
      </c>
      <c r="C59">
        <v>4</v>
      </c>
      <c r="D59">
        <v>40</v>
      </c>
      <c r="E59">
        <v>10952653</v>
      </c>
      <c r="F59" t="s">
        <v>107</v>
      </c>
      <c r="G59" s="1" t="str">
        <f t="shared" si="0"/>
        <v/>
      </c>
      <c r="H59" s="1" t="str" cm="1">
        <f t="array" ref="H59">IF(SUMPRODUCT(--ISNUMBER(SEARCH({"PB)","세븐카페)","세븐일레븐","세븐셀렉트"},F59)))&gt;0,"O","")</f>
        <v/>
      </c>
      <c r="I59" s="1" t="str" cm="1">
        <f t="array" ref="I59">IF(SUMPRODUCT(--ISNUMBER(SEARCH({"박은영","최강록","이정후"},F59)))&gt;0,"O","")</f>
        <v/>
      </c>
      <c r="J59" s="1" t="str" cm="1">
        <f t="array" ref="J59">IF(SUMPRODUCT(--ISNUMBER(SEARCH({"산리오","포차코","마이멜로디","잔망루피","티니핑","KBO"},F59)))&gt;0,"O","")</f>
        <v/>
      </c>
      <c r="K59" s="1" t="str" cm="1">
        <f t="array" ref="K59">IF(SUMPRODUCT(--ISNUMBER(SEARCH({"Dole","추성훈","하정우","안유성","히밥","좀비딸"},F59)))&gt;0,"O","")</f>
        <v/>
      </c>
      <c r="L59" s="1" t="str" cm="1">
        <f t="array" ref="L59">IF(SUMPRODUCT(--ISNUMBER(SEARCH({"쪼코쪼코","분홍분홍","노랑노랑","콩닥콩닥","촉촉"},F59)))&gt;0,"O","")</f>
        <v/>
      </c>
    </row>
    <row r="60" spans="1:12" x14ac:dyDescent="0.6">
      <c r="A60" t="s">
        <v>108</v>
      </c>
      <c r="B60">
        <v>10</v>
      </c>
      <c r="C60">
        <v>4</v>
      </c>
      <c r="D60">
        <v>40</v>
      </c>
      <c r="E60">
        <v>10455679</v>
      </c>
      <c r="F60" t="s">
        <v>109</v>
      </c>
      <c r="G60" s="1" t="str">
        <f t="shared" si="0"/>
        <v/>
      </c>
      <c r="H60" s="1" t="str" cm="1">
        <f t="array" ref="H60">IF(SUMPRODUCT(--ISNUMBER(SEARCH({"PB)","세븐카페)","세븐일레븐","세븐셀렉트"},F60)))&gt;0,"O","")</f>
        <v/>
      </c>
      <c r="I60" s="1" t="str" cm="1">
        <f t="array" ref="I60">IF(SUMPRODUCT(--ISNUMBER(SEARCH({"박은영","최강록","이정후"},F60)))&gt;0,"O","")</f>
        <v/>
      </c>
      <c r="J60" s="1" t="str" cm="1">
        <f t="array" ref="J60">IF(SUMPRODUCT(--ISNUMBER(SEARCH({"산리오","포차코","마이멜로디","잔망루피","티니핑","KBO"},F60)))&gt;0,"O","")</f>
        <v/>
      </c>
      <c r="K60" s="1" t="str" cm="1">
        <f t="array" ref="K60">IF(SUMPRODUCT(--ISNUMBER(SEARCH({"Dole","추성훈","하정우","안유성","히밥","좀비딸"},F60)))&gt;0,"O","")</f>
        <v/>
      </c>
      <c r="L60" s="1" t="str" cm="1">
        <f t="array" ref="L60">IF(SUMPRODUCT(--ISNUMBER(SEARCH({"쪼코쪼코","분홍분홍","노랑노랑","콩닥콩닥","촉촉"},F60)))&gt;0,"O","")</f>
        <v/>
      </c>
    </row>
    <row r="61" spans="1:12" x14ac:dyDescent="0.6">
      <c r="A61" t="s">
        <v>110</v>
      </c>
      <c r="B61">
        <v>17</v>
      </c>
      <c r="C61">
        <v>9</v>
      </c>
      <c r="D61">
        <v>52.9</v>
      </c>
      <c r="E61">
        <v>9551518</v>
      </c>
      <c r="F61" t="s">
        <v>111</v>
      </c>
      <c r="G61" s="1" t="s">
        <v>170</v>
      </c>
      <c r="H61" s="1" t="s">
        <v>170</v>
      </c>
      <c r="I61" s="1" t="str" cm="1">
        <f t="array" ref="I61">IF(SUMPRODUCT(--ISNUMBER(SEARCH({"박은영","최강록","이정후"},F61)))&gt;0,"O","")</f>
        <v/>
      </c>
      <c r="J61" s="1" t="str" cm="1">
        <f t="array" ref="J61">IF(SUMPRODUCT(--ISNUMBER(SEARCH({"산리오","포차코","마이멜로디","잔망루피","티니핑","KBO"},F61)))&gt;0,"O","")</f>
        <v/>
      </c>
      <c r="K61" s="1" t="str" cm="1">
        <f t="array" ref="K61">IF(SUMPRODUCT(--ISNUMBER(SEARCH({"Dole","추성훈","하정우","안유성","히밥","좀비딸"},F61)))&gt;0,"O","")</f>
        <v/>
      </c>
      <c r="L61" s="1" t="str" cm="1">
        <f t="array" ref="L61">IF(SUMPRODUCT(--ISNUMBER(SEARCH({"쪼코쪼코","분홍분홍","노랑노랑","콩닥콩닥","촉촉"},F61)))&gt;0,"O","")</f>
        <v/>
      </c>
    </row>
    <row r="62" spans="1:12" x14ac:dyDescent="0.6">
      <c r="A62" t="s">
        <v>184</v>
      </c>
      <c r="B62">
        <v>83</v>
      </c>
      <c r="C62">
        <v>38</v>
      </c>
      <c r="D62">
        <v>45.8</v>
      </c>
      <c r="E62">
        <v>9224378</v>
      </c>
      <c r="F62" t="s">
        <v>185</v>
      </c>
      <c r="G62" s="1" t="str">
        <f t="shared" si="0"/>
        <v/>
      </c>
      <c r="H62" s="1" t="str" cm="1">
        <f t="array" ref="H62">IF(SUMPRODUCT(--ISNUMBER(SEARCH({"PB)","세븐카페)","세븐일레븐","세븐셀렉트"},F62)))&gt;0,"O","")</f>
        <v/>
      </c>
      <c r="I62" s="1" t="str" cm="1">
        <f t="array" ref="I62">IF(SUMPRODUCT(--ISNUMBER(SEARCH({"박은영","최강록","이정후"},F62)))&gt;0,"O","")</f>
        <v/>
      </c>
      <c r="J62" s="1" t="str" cm="1">
        <f t="array" ref="J62">IF(SUMPRODUCT(--ISNUMBER(SEARCH({"산리오","포차코","마이멜로디","잔망루피","티니핑","KBO"},F62)))&gt;0,"O","")</f>
        <v/>
      </c>
      <c r="K62" s="1" t="str" cm="1">
        <f t="array" ref="K62">IF(SUMPRODUCT(--ISNUMBER(SEARCH({"Dole","추성훈","하정우","안유성","히밥","좀비딸"},F62)))&gt;0,"O","")</f>
        <v/>
      </c>
      <c r="L62" s="1" t="str" cm="1">
        <f t="array" ref="L62">IF(SUMPRODUCT(--ISNUMBER(SEARCH({"쪼코쪼코","분홍분홍","노랑노랑","콩닥콩닥","촉촉"},F62)))&gt;0,"O","")</f>
        <v/>
      </c>
    </row>
    <row r="63" spans="1:12" x14ac:dyDescent="0.6">
      <c r="A63" t="s">
        <v>112</v>
      </c>
      <c r="B63">
        <v>21</v>
      </c>
      <c r="C63">
        <v>9</v>
      </c>
      <c r="D63">
        <v>42.9</v>
      </c>
      <c r="E63">
        <v>8475783</v>
      </c>
      <c r="F63" t="s">
        <v>113</v>
      </c>
      <c r="G63" s="1" t="str">
        <f t="shared" si="0"/>
        <v/>
      </c>
      <c r="H63" s="1" t="str" cm="1">
        <f t="array" ref="H63">IF(SUMPRODUCT(--ISNUMBER(SEARCH({"PB)","세븐카페)","세븐일레븐","세븐셀렉트"},F63)))&gt;0,"O","")</f>
        <v/>
      </c>
      <c r="I63" s="1" t="str" cm="1">
        <f t="array" ref="I63">IF(SUMPRODUCT(--ISNUMBER(SEARCH({"박은영","최강록","이정후"},F63)))&gt;0,"O","")</f>
        <v/>
      </c>
      <c r="J63" s="1" t="str" cm="1">
        <f t="array" ref="J63">IF(SUMPRODUCT(--ISNUMBER(SEARCH({"산리오","포차코","마이멜로디","잔망루피","티니핑","KBO"},F63)))&gt;0,"O","")</f>
        <v/>
      </c>
      <c r="K63" s="1" t="str" cm="1">
        <f t="array" ref="K63">IF(SUMPRODUCT(--ISNUMBER(SEARCH({"Dole","추성훈","하정우","안유성","히밥","좀비딸"},F63)))&gt;0,"O","")</f>
        <v/>
      </c>
      <c r="L63" s="1" t="str" cm="1">
        <f t="array" ref="L63">IF(SUMPRODUCT(--ISNUMBER(SEARCH({"쪼코쪼코","분홍분홍","노랑노랑","콩닥콩닥","촉촉"},F63)))&gt;0,"O","")</f>
        <v/>
      </c>
    </row>
    <row r="64" spans="1:12" x14ac:dyDescent="0.6">
      <c r="A64" t="s">
        <v>114</v>
      </c>
      <c r="B64">
        <v>19</v>
      </c>
      <c r="C64">
        <v>8</v>
      </c>
      <c r="D64">
        <v>42.1</v>
      </c>
      <c r="E64">
        <v>8406036</v>
      </c>
      <c r="F64" t="s">
        <v>115</v>
      </c>
      <c r="G64" s="1" t="str">
        <f t="shared" si="0"/>
        <v/>
      </c>
      <c r="H64" s="1" t="str" cm="1">
        <f t="array" ref="H64">IF(SUMPRODUCT(--ISNUMBER(SEARCH({"PB)","세븐카페)","세븐일레븐","세븐셀렉트"},F64)))&gt;0,"O","")</f>
        <v/>
      </c>
      <c r="I64" s="1" t="str" cm="1">
        <f t="array" ref="I64">IF(SUMPRODUCT(--ISNUMBER(SEARCH({"박은영","최강록","이정후"},F64)))&gt;0,"O","")</f>
        <v/>
      </c>
      <c r="J64" s="1" t="str" cm="1">
        <f t="array" ref="J64">IF(SUMPRODUCT(--ISNUMBER(SEARCH({"산리오","포차코","마이멜로디","잔망루피","티니핑","KBO"},F64)))&gt;0,"O","")</f>
        <v/>
      </c>
      <c r="K64" s="1" t="str" cm="1">
        <f t="array" ref="K64">IF(SUMPRODUCT(--ISNUMBER(SEARCH({"Dole","추성훈","하정우","안유성","히밥","좀비딸"},F64)))&gt;0,"O","")</f>
        <v/>
      </c>
      <c r="L64" s="1" t="str" cm="1">
        <f t="array" ref="L64">IF(SUMPRODUCT(--ISNUMBER(SEARCH({"쪼코쪼코","분홍분홍","노랑노랑","콩닥콩닥","촉촉"},F64)))&gt;0,"O","")</f>
        <v/>
      </c>
    </row>
    <row r="65" spans="1:12" x14ac:dyDescent="0.6">
      <c r="A65" t="s">
        <v>186</v>
      </c>
      <c r="B65">
        <v>37</v>
      </c>
      <c r="C65">
        <v>20</v>
      </c>
      <c r="D65">
        <v>54.1</v>
      </c>
      <c r="E65">
        <v>7487098</v>
      </c>
      <c r="F65" t="s">
        <v>187</v>
      </c>
      <c r="G65" s="1" t="str">
        <f t="shared" si="0"/>
        <v/>
      </c>
      <c r="H65" s="1" t="str" cm="1">
        <f t="array" ref="H65">IF(SUMPRODUCT(--ISNUMBER(SEARCH({"PB)","세븐카페)","세븐일레븐","세븐셀렉트"},F65)))&gt;0,"O","")</f>
        <v/>
      </c>
      <c r="I65" s="1" t="str" cm="1">
        <f t="array" ref="I65">IF(SUMPRODUCT(--ISNUMBER(SEARCH({"박은영","최강록","이정후"},F65)))&gt;0,"O","")</f>
        <v/>
      </c>
      <c r="J65" s="1" t="str" cm="1">
        <f t="array" ref="J65">IF(SUMPRODUCT(--ISNUMBER(SEARCH({"산리오","포차코","마이멜로디","잔망루피","티니핑","KBO"},F65)))&gt;0,"O","")</f>
        <v/>
      </c>
      <c r="K65" s="1" t="str" cm="1">
        <f t="array" ref="K65">IF(SUMPRODUCT(--ISNUMBER(SEARCH({"Dole","추성훈","하정우","안유성","히밥","좀비딸"},F65)))&gt;0,"O","")</f>
        <v/>
      </c>
      <c r="L65" s="1" t="str" cm="1">
        <f t="array" ref="L65">IF(SUMPRODUCT(--ISNUMBER(SEARCH({"쪼코쪼코","분홍분홍","노랑노랑","콩닥콩닥","촉촉"},F65)))&gt;0,"O","")</f>
        <v/>
      </c>
    </row>
    <row r="66" spans="1:12" x14ac:dyDescent="0.6">
      <c r="A66" t="s">
        <v>116</v>
      </c>
      <c r="B66">
        <v>11</v>
      </c>
      <c r="C66">
        <v>7</v>
      </c>
      <c r="D66">
        <v>63.6</v>
      </c>
      <c r="E66">
        <v>6951406</v>
      </c>
      <c r="F66" t="s">
        <v>117</v>
      </c>
      <c r="G66" s="1" t="s">
        <v>170</v>
      </c>
      <c r="H66" s="1" t="s">
        <v>170</v>
      </c>
      <c r="I66" s="1" t="str" cm="1">
        <f t="array" ref="I66">IF(SUMPRODUCT(--ISNUMBER(SEARCH({"박은영","최강록","이정후"},F66)))&gt;0,"O","")</f>
        <v/>
      </c>
      <c r="J66" s="1" t="str" cm="1">
        <f t="array" ref="J66">IF(SUMPRODUCT(--ISNUMBER(SEARCH({"산리오","포차코","마이멜로디","잔망루피","티니핑","KBO"},F66)))&gt;0,"O","")</f>
        <v/>
      </c>
      <c r="K66" s="1" t="str" cm="1">
        <f t="array" ref="K66">IF(SUMPRODUCT(--ISNUMBER(SEARCH({"Dole","추성훈","하정우","안유성","히밥","좀비딸"},F66)))&gt;0,"O","")</f>
        <v/>
      </c>
      <c r="L66" s="1" t="str" cm="1">
        <f t="array" ref="L66">IF(SUMPRODUCT(--ISNUMBER(SEARCH({"쪼코쪼코","분홍분홍","노랑노랑","콩닥콩닥","촉촉"},F66)))&gt;0,"O","")</f>
        <v/>
      </c>
    </row>
    <row r="67" spans="1:12" x14ac:dyDescent="0.6">
      <c r="A67" t="s">
        <v>118</v>
      </c>
      <c r="B67">
        <v>45</v>
      </c>
      <c r="C67">
        <v>9</v>
      </c>
      <c r="D67">
        <v>20</v>
      </c>
      <c r="E67">
        <v>6873600</v>
      </c>
      <c r="F67" t="s">
        <v>119</v>
      </c>
      <c r="G67" s="1" t="str">
        <f t="shared" ref="G67:G92" si="1">IF(COUNTIF(H67:L67,"O")&gt;0,"O","")</f>
        <v/>
      </c>
      <c r="H67" s="1" t="str" cm="1">
        <f t="array" ref="H67">IF(SUMPRODUCT(--ISNUMBER(SEARCH({"PB)","세븐카페)","세븐일레븐","세븐셀렉트"},F67)))&gt;0,"O","")</f>
        <v/>
      </c>
      <c r="I67" s="1" t="str" cm="1">
        <f t="array" ref="I67">IF(SUMPRODUCT(--ISNUMBER(SEARCH({"박은영","최강록","이정후"},F67)))&gt;0,"O","")</f>
        <v/>
      </c>
      <c r="J67" s="1" t="str" cm="1">
        <f t="array" ref="J67">IF(SUMPRODUCT(--ISNUMBER(SEARCH({"산리오","포차코","마이멜로디","잔망루피","티니핑","KBO"},F67)))&gt;0,"O","")</f>
        <v/>
      </c>
      <c r="K67" s="1" t="str" cm="1">
        <f t="array" ref="K67">IF(SUMPRODUCT(--ISNUMBER(SEARCH({"Dole","추성훈","하정우","안유성","히밥","좀비딸"},F67)))&gt;0,"O","")</f>
        <v/>
      </c>
      <c r="L67" s="1" t="str" cm="1">
        <f t="array" ref="L67">IF(SUMPRODUCT(--ISNUMBER(SEARCH({"쪼코쪼코","분홍분홍","노랑노랑","콩닥콩닥","촉촉"},F67)))&gt;0,"O","")</f>
        <v/>
      </c>
    </row>
    <row r="68" spans="1:12" x14ac:dyDescent="0.6">
      <c r="A68" t="s">
        <v>120</v>
      </c>
      <c r="B68">
        <v>5</v>
      </c>
      <c r="C68">
        <v>3</v>
      </c>
      <c r="D68">
        <v>60</v>
      </c>
      <c r="E68">
        <v>6598268</v>
      </c>
      <c r="F68" t="s">
        <v>121</v>
      </c>
      <c r="G68" s="1" t="str">
        <f t="shared" si="1"/>
        <v/>
      </c>
      <c r="H68" s="1" t="str" cm="1">
        <f t="array" ref="H68">IF(SUMPRODUCT(--ISNUMBER(SEARCH({"PB)","세븐카페)","세븐일레븐","세븐셀렉트"},F68)))&gt;0,"O","")</f>
        <v/>
      </c>
      <c r="I68" s="1" t="str" cm="1">
        <f t="array" ref="I68">IF(SUMPRODUCT(--ISNUMBER(SEARCH({"박은영","최강록","이정후"},F68)))&gt;0,"O","")</f>
        <v/>
      </c>
      <c r="J68" s="1" t="str" cm="1">
        <f t="array" ref="J68">IF(SUMPRODUCT(--ISNUMBER(SEARCH({"산리오","포차코","마이멜로디","잔망루피","티니핑","KBO"},F68)))&gt;0,"O","")</f>
        <v/>
      </c>
      <c r="K68" s="1" t="str" cm="1">
        <f t="array" ref="K68">IF(SUMPRODUCT(--ISNUMBER(SEARCH({"Dole","추성훈","하정우","안유성","히밥","좀비딸"},F68)))&gt;0,"O","")</f>
        <v/>
      </c>
      <c r="L68" s="1" t="str" cm="1">
        <f t="array" ref="L68">IF(SUMPRODUCT(--ISNUMBER(SEARCH({"쪼코쪼코","분홍분홍","노랑노랑","콩닥콩닥","촉촉"},F68)))&gt;0,"O","")</f>
        <v/>
      </c>
    </row>
    <row r="69" spans="1:12" x14ac:dyDescent="0.6">
      <c r="A69" t="s">
        <v>122</v>
      </c>
      <c r="B69">
        <v>22</v>
      </c>
      <c r="C69">
        <v>4</v>
      </c>
      <c r="D69">
        <v>18.2</v>
      </c>
      <c r="E69">
        <v>6166054</v>
      </c>
      <c r="F69" t="s">
        <v>123</v>
      </c>
      <c r="G69" s="1" t="str">
        <f t="shared" si="1"/>
        <v/>
      </c>
      <c r="H69" s="1" t="str" cm="1">
        <f t="array" ref="H69">IF(SUMPRODUCT(--ISNUMBER(SEARCH({"PB)","세븐카페)","세븐일레븐","세븐셀렉트"},F69)))&gt;0,"O","")</f>
        <v/>
      </c>
      <c r="I69" s="1" t="str" cm="1">
        <f t="array" ref="I69">IF(SUMPRODUCT(--ISNUMBER(SEARCH({"박은영","최강록","이정후"},F69)))&gt;0,"O","")</f>
        <v/>
      </c>
      <c r="J69" s="1" t="str" cm="1">
        <f t="array" ref="J69">IF(SUMPRODUCT(--ISNUMBER(SEARCH({"산리오","포차코","마이멜로디","잔망루피","티니핑","KBO"},F69)))&gt;0,"O","")</f>
        <v/>
      </c>
      <c r="K69" s="1" t="str" cm="1">
        <f t="array" ref="K69">IF(SUMPRODUCT(--ISNUMBER(SEARCH({"Dole","추성훈","하정우","안유성","히밥","좀비딸"},F69)))&gt;0,"O","")</f>
        <v/>
      </c>
      <c r="L69" s="1" t="str" cm="1">
        <f t="array" ref="L69">IF(SUMPRODUCT(--ISNUMBER(SEARCH({"쪼코쪼코","분홍분홍","노랑노랑","콩닥콩닥","촉촉"},F69)))&gt;0,"O","")</f>
        <v/>
      </c>
    </row>
    <row r="70" spans="1:12" x14ac:dyDescent="0.6">
      <c r="A70" t="s">
        <v>124</v>
      </c>
      <c r="B70">
        <v>52</v>
      </c>
      <c r="C70">
        <v>10</v>
      </c>
      <c r="D70">
        <v>19.2</v>
      </c>
      <c r="E70">
        <v>5859321</v>
      </c>
      <c r="F70" t="s">
        <v>125</v>
      </c>
      <c r="G70" s="1" t="str">
        <f t="shared" si="1"/>
        <v/>
      </c>
      <c r="H70" s="1" t="str" cm="1">
        <f t="array" ref="H70">IF(SUMPRODUCT(--ISNUMBER(SEARCH({"PB)","세븐카페)","세븐일레븐","세븐셀렉트"},F70)))&gt;0,"O","")</f>
        <v/>
      </c>
      <c r="I70" s="1" t="str" cm="1">
        <f t="array" ref="I70">IF(SUMPRODUCT(--ISNUMBER(SEARCH({"박은영","최강록","이정후"},F70)))&gt;0,"O","")</f>
        <v/>
      </c>
      <c r="J70" s="1" t="str" cm="1">
        <f t="array" ref="J70">IF(SUMPRODUCT(--ISNUMBER(SEARCH({"산리오","포차코","마이멜로디","잔망루피","티니핑","KBO"},F70)))&gt;0,"O","")</f>
        <v/>
      </c>
      <c r="K70" s="1" t="str" cm="1">
        <f t="array" ref="K70">IF(SUMPRODUCT(--ISNUMBER(SEARCH({"Dole","추성훈","하정우","안유성","히밥","좀비딸"},F70)))&gt;0,"O","")</f>
        <v/>
      </c>
      <c r="L70" s="1" t="str" cm="1">
        <f t="array" ref="L70">IF(SUMPRODUCT(--ISNUMBER(SEARCH({"쪼코쪼코","분홍분홍","노랑노랑","콩닥콩닥","촉촉"},F70)))&gt;0,"O","")</f>
        <v/>
      </c>
    </row>
    <row r="71" spans="1:12" x14ac:dyDescent="0.6">
      <c r="A71" t="s">
        <v>127</v>
      </c>
      <c r="B71">
        <v>3</v>
      </c>
      <c r="C71">
        <v>2</v>
      </c>
      <c r="D71">
        <v>66.7</v>
      </c>
      <c r="E71">
        <v>4668666</v>
      </c>
      <c r="F71" t="s">
        <v>128</v>
      </c>
      <c r="G71" s="1" t="str">
        <f t="shared" si="1"/>
        <v/>
      </c>
      <c r="H71" s="1" t="str" cm="1">
        <f t="array" ref="H71">IF(SUMPRODUCT(--ISNUMBER(SEARCH({"PB)","세븐카페)","세븐일레븐","세븐셀렉트"},F71)))&gt;0,"O","")</f>
        <v/>
      </c>
      <c r="I71" s="1" t="str" cm="1">
        <f t="array" ref="I71">IF(SUMPRODUCT(--ISNUMBER(SEARCH({"박은영","최강록","이정후"},F71)))&gt;0,"O","")</f>
        <v/>
      </c>
      <c r="J71" s="1" t="str" cm="1">
        <f t="array" ref="J71">IF(SUMPRODUCT(--ISNUMBER(SEARCH({"산리오","포차코","마이멜로디","잔망루피","티니핑","KBO"},F71)))&gt;0,"O","")</f>
        <v/>
      </c>
      <c r="K71" s="1" t="str" cm="1">
        <f t="array" ref="K71">IF(SUMPRODUCT(--ISNUMBER(SEARCH({"Dole","추성훈","하정우","안유성","히밥","좀비딸"},F71)))&gt;0,"O","")</f>
        <v/>
      </c>
      <c r="L71" s="1" t="str" cm="1">
        <f t="array" ref="L71">IF(SUMPRODUCT(--ISNUMBER(SEARCH({"쪼코쪼코","분홍분홍","노랑노랑","콩닥콩닥","촉촉"},F71)))&gt;0,"O","")</f>
        <v/>
      </c>
    </row>
    <row r="72" spans="1:12" x14ac:dyDescent="0.6">
      <c r="A72" t="s">
        <v>129</v>
      </c>
      <c r="B72">
        <v>19</v>
      </c>
      <c r="C72">
        <v>6</v>
      </c>
      <c r="D72">
        <v>31.6</v>
      </c>
      <c r="E72">
        <v>4648550</v>
      </c>
      <c r="F72" t="s">
        <v>130</v>
      </c>
      <c r="G72" s="1" t="str">
        <f t="shared" si="1"/>
        <v/>
      </c>
      <c r="H72" s="1" t="str" cm="1">
        <f t="array" ref="H72">IF(SUMPRODUCT(--ISNUMBER(SEARCH({"PB)","세븐카페)","세븐일레븐","세븐셀렉트"},F72)))&gt;0,"O","")</f>
        <v/>
      </c>
      <c r="I72" s="1" t="str" cm="1">
        <f t="array" ref="I72">IF(SUMPRODUCT(--ISNUMBER(SEARCH({"박은영","최강록","이정후"},F72)))&gt;0,"O","")</f>
        <v/>
      </c>
      <c r="J72" s="1" t="str" cm="1">
        <f t="array" ref="J72">IF(SUMPRODUCT(--ISNUMBER(SEARCH({"산리오","포차코","마이멜로디","잔망루피","티니핑","KBO"},F72)))&gt;0,"O","")</f>
        <v/>
      </c>
      <c r="K72" s="1" t="str" cm="1">
        <f t="array" ref="K72">IF(SUMPRODUCT(--ISNUMBER(SEARCH({"Dole","추성훈","하정우","안유성","히밥","좀비딸"},F72)))&gt;0,"O","")</f>
        <v/>
      </c>
      <c r="L72" s="1" t="str" cm="1">
        <f t="array" ref="L72">IF(SUMPRODUCT(--ISNUMBER(SEARCH({"쪼코쪼코","분홍분홍","노랑노랑","콩닥콩닥","촉촉"},F72)))&gt;0,"O","")</f>
        <v/>
      </c>
    </row>
    <row r="73" spans="1:12" x14ac:dyDescent="0.6">
      <c r="A73" t="s">
        <v>131</v>
      </c>
      <c r="B73">
        <v>3</v>
      </c>
      <c r="C73">
        <v>3</v>
      </c>
      <c r="D73">
        <v>100</v>
      </c>
      <c r="E73">
        <v>4585932</v>
      </c>
      <c r="F73" t="s">
        <v>188</v>
      </c>
      <c r="G73" s="1" t="str">
        <f t="shared" si="1"/>
        <v/>
      </c>
      <c r="H73" s="1" t="str" cm="1">
        <f t="array" ref="H73">IF(SUMPRODUCT(--ISNUMBER(SEARCH({"PB)","세븐카페)","세븐일레븐","세븐셀렉트"},F73)))&gt;0,"O","")</f>
        <v/>
      </c>
      <c r="I73" s="1" t="str" cm="1">
        <f t="array" ref="I73">IF(SUMPRODUCT(--ISNUMBER(SEARCH({"박은영","최강록","이정후"},F73)))&gt;0,"O","")</f>
        <v/>
      </c>
      <c r="J73" s="1" t="str" cm="1">
        <f t="array" ref="J73">IF(SUMPRODUCT(--ISNUMBER(SEARCH({"산리오","포차코","마이멜로디","잔망루피","티니핑","KBO"},F73)))&gt;0,"O","")</f>
        <v/>
      </c>
      <c r="K73" s="1" t="str" cm="1">
        <f t="array" ref="K73">IF(SUMPRODUCT(--ISNUMBER(SEARCH({"Dole","추성훈","하정우","안유성","히밥","좀비딸"},F73)))&gt;0,"O","")</f>
        <v/>
      </c>
      <c r="L73" s="1" t="str" cm="1">
        <f t="array" ref="L73">IF(SUMPRODUCT(--ISNUMBER(SEARCH({"쪼코쪼코","분홍분홍","노랑노랑","콩닥콩닥","촉촉"},F73)))&gt;0,"O","")</f>
        <v/>
      </c>
    </row>
    <row r="74" spans="1:12" x14ac:dyDescent="0.6">
      <c r="A74" t="s">
        <v>132</v>
      </c>
      <c r="B74">
        <v>3</v>
      </c>
      <c r="C74">
        <v>3</v>
      </c>
      <c r="D74">
        <v>100</v>
      </c>
      <c r="E74">
        <v>3798207</v>
      </c>
      <c r="F74" t="s">
        <v>133</v>
      </c>
      <c r="G74" s="1" t="str">
        <f t="shared" si="1"/>
        <v/>
      </c>
      <c r="H74" s="1" t="str" cm="1">
        <f t="array" ref="H74">IF(SUMPRODUCT(--ISNUMBER(SEARCH({"PB)","세븐카페)","세븐일레븐","세븐셀렉트"},F74)))&gt;0,"O","")</f>
        <v/>
      </c>
      <c r="I74" s="1" t="str" cm="1">
        <f t="array" ref="I74">IF(SUMPRODUCT(--ISNUMBER(SEARCH({"박은영","최강록","이정후"},F74)))&gt;0,"O","")</f>
        <v/>
      </c>
      <c r="J74" s="1" t="str" cm="1">
        <f t="array" ref="J74">IF(SUMPRODUCT(--ISNUMBER(SEARCH({"산리오","포차코","마이멜로디","잔망루피","티니핑","KBO"},F74)))&gt;0,"O","")</f>
        <v/>
      </c>
      <c r="K74" s="1" t="str" cm="1">
        <f t="array" ref="K74">IF(SUMPRODUCT(--ISNUMBER(SEARCH({"Dole","추성훈","하정우","안유성","히밥","좀비딸"},F74)))&gt;0,"O","")</f>
        <v/>
      </c>
      <c r="L74" s="1" t="str" cm="1">
        <f t="array" ref="L74">IF(SUMPRODUCT(--ISNUMBER(SEARCH({"쪼코쪼코","분홍분홍","노랑노랑","콩닥콩닥","촉촉"},F74)))&gt;0,"O","")</f>
        <v/>
      </c>
    </row>
    <row r="75" spans="1:12" x14ac:dyDescent="0.6">
      <c r="A75" t="s">
        <v>134</v>
      </c>
      <c r="B75">
        <v>12</v>
      </c>
      <c r="C75">
        <v>3</v>
      </c>
      <c r="D75">
        <v>25</v>
      </c>
      <c r="E75">
        <v>3549764</v>
      </c>
      <c r="F75" t="s">
        <v>135</v>
      </c>
      <c r="G75" s="1" t="s">
        <v>170</v>
      </c>
      <c r="H75" s="1" t="s">
        <v>170</v>
      </c>
      <c r="I75" s="1" t="str" cm="1">
        <f t="array" ref="I75">IF(SUMPRODUCT(--ISNUMBER(SEARCH({"박은영","최강록","이정후"},F75)))&gt;0,"O","")</f>
        <v/>
      </c>
      <c r="J75" s="1" t="str" cm="1">
        <f t="array" ref="J75">IF(SUMPRODUCT(--ISNUMBER(SEARCH({"산리오","포차코","마이멜로디","잔망루피","티니핑","KBO"},F75)))&gt;0,"O","")</f>
        <v/>
      </c>
      <c r="K75" s="1" t="str" cm="1">
        <f t="array" ref="K75">IF(SUMPRODUCT(--ISNUMBER(SEARCH({"Dole","추성훈","하정우","안유성","히밥","좀비딸"},F75)))&gt;0,"O","")</f>
        <v/>
      </c>
      <c r="L75" s="1" t="str" cm="1">
        <f t="array" ref="L75">IF(SUMPRODUCT(--ISNUMBER(SEARCH({"쪼코쪼코","분홍분홍","노랑노랑","콩닥콩닥","촉촉"},F75)))&gt;0,"O","")</f>
        <v/>
      </c>
    </row>
    <row r="76" spans="1:12" x14ac:dyDescent="0.6">
      <c r="A76" t="s">
        <v>136</v>
      </c>
      <c r="B76">
        <v>11</v>
      </c>
      <c r="C76">
        <v>3</v>
      </c>
      <c r="D76">
        <v>27.3</v>
      </c>
      <c r="E76">
        <v>2481306</v>
      </c>
      <c r="F76" t="s">
        <v>137</v>
      </c>
      <c r="G76" s="1" t="str">
        <f t="shared" si="1"/>
        <v/>
      </c>
      <c r="H76" s="1" t="str" cm="1">
        <f t="array" ref="H76">IF(SUMPRODUCT(--ISNUMBER(SEARCH({"PB)","세븐카페)","세븐일레븐","세븐셀렉트"},F76)))&gt;0,"O","")</f>
        <v/>
      </c>
      <c r="I76" s="1" t="str" cm="1">
        <f t="array" ref="I76">IF(SUMPRODUCT(--ISNUMBER(SEARCH({"박은영","최강록","이정후"},F76)))&gt;0,"O","")</f>
        <v/>
      </c>
      <c r="J76" s="1" t="str" cm="1">
        <f t="array" ref="J76">IF(SUMPRODUCT(--ISNUMBER(SEARCH({"산리오","포차코","마이멜로디","잔망루피","티니핑","KBO"},F76)))&gt;0,"O","")</f>
        <v/>
      </c>
      <c r="K76" s="1" t="str" cm="1">
        <f t="array" ref="K76">IF(SUMPRODUCT(--ISNUMBER(SEARCH({"Dole","추성훈","하정우","안유성","히밥","좀비딸"},F76)))&gt;0,"O","")</f>
        <v/>
      </c>
      <c r="L76" s="1" t="str" cm="1">
        <f t="array" ref="L76">IF(SUMPRODUCT(--ISNUMBER(SEARCH({"쪼코쪼코","분홍분홍","노랑노랑","콩닥콩닥","촉촉"},F76)))&gt;0,"O","")</f>
        <v/>
      </c>
    </row>
    <row r="77" spans="1:12" x14ac:dyDescent="0.6">
      <c r="A77" t="s">
        <v>138</v>
      </c>
      <c r="B77">
        <v>16</v>
      </c>
      <c r="C77">
        <v>6</v>
      </c>
      <c r="D77">
        <v>37.5</v>
      </c>
      <c r="E77">
        <v>2416893</v>
      </c>
      <c r="F77" t="s">
        <v>139</v>
      </c>
      <c r="G77" s="1" t="s">
        <v>170</v>
      </c>
      <c r="H77" s="1" t="s">
        <v>170</v>
      </c>
      <c r="I77" s="1" t="str" cm="1">
        <f t="array" ref="I77">IF(SUMPRODUCT(--ISNUMBER(SEARCH({"박은영","최강록","이정후"},F77)))&gt;0,"O","")</f>
        <v/>
      </c>
      <c r="J77" s="1" t="str" cm="1">
        <f t="array" ref="J77">IF(SUMPRODUCT(--ISNUMBER(SEARCH({"산리오","포차코","마이멜로디","잔망루피","티니핑","KBO"},F77)))&gt;0,"O","")</f>
        <v/>
      </c>
      <c r="K77" s="1" t="s">
        <v>170</v>
      </c>
      <c r="L77" s="1" t="str" cm="1">
        <f t="array" ref="L77">IF(SUMPRODUCT(--ISNUMBER(SEARCH({"쪼코쪼코","분홍분홍","노랑노랑","콩닥콩닥","촉촉"},F77)))&gt;0,"O","")</f>
        <v/>
      </c>
    </row>
    <row r="78" spans="1:12" x14ac:dyDescent="0.6">
      <c r="A78" t="s">
        <v>140</v>
      </c>
      <c r="B78">
        <v>8</v>
      </c>
      <c r="C78">
        <v>3</v>
      </c>
      <c r="D78">
        <v>37.5</v>
      </c>
      <c r="E78">
        <v>1958496</v>
      </c>
      <c r="F78" t="s">
        <v>141</v>
      </c>
      <c r="G78" s="1" t="s">
        <v>170</v>
      </c>
      <c r="H78" s="1" t="s">
        <v>170</v>
      </c>
      <c r="I78" s="1" t="str" cm="1">
        <f t="array" ref="I78">IF(SUMPRODUCT(--ISNUMBER(SEARCH({"박은영","최강록","이정후"},F78)))&gt;0,"O","")</f>
        <v/>
      </c>
      <c r="J78" s="1" t="str" cm="1">
        <f t="array" ref="J78">IF(SUMPRODUCT(--ISNUMBER(SEARCH({"산리오","포차코","마이멜로디","잔망루피","티니핑","KBO"},F78)))&gt;0,"O","")</f>
        <v/>
      </c>
      <c r="K78" s="1" t="str" cm="1">
        <f t="array" ref="K78">IF(SUMPRODUCT(--ISNUMBER(SEARCH({"Dole","추성훈","하정우","안유성","히밥","좀비딸"},F78)))&gt;0,"O","")</f>
        <v/>
      </c>
      <c r="L78" s="1" t="str" cm="1">
        <f t="array" ref="L78">IF(SUMPRODUCT(--ISNUMBER(SEARCH({"쪼코쪼코","분홍분홍","노랑노랑","콩닥콩닥","촉촉"},F78)))&gt;0,"O","")</f>
        <v/>
      </c>
    </row>
    <row r="79" spans="1:12" x14ac:dyDescent="0.6">
      <c r="A79" t="s">
        <v>142</v>
      </c>
      <c r="B79">
        <v>3</v>
      </c>
      <c r="C79">
        <v>2</v>
      </c>
      <c r="D79">
        <v>66.7</v>
      </c>
      <c r="E79">
        <v>1915127</v>
      </c>
      <c r="F79" t="s">
        <v>143</v>
      </c>
      <c r="G79" s="1" t="str">
        <f t="shared" si="1"/>
        <v/>
      </c>
      <c r="H79" s="1" t="str" cm="1">
        <f t="array" ref="H79">IF(SUMPRODUCT(--ISNUMBER(SEARCH({"PB)","세븐카페)","세븐일레븐","세븐셀렉트"},F79)))&gt;0,"O","")</f>
        <v/>
      </c>
      <c r="I79" s="1" t="str" cm="1">
        <f t="array" ref="I79">IF(SUMPRODUCT(--ISNUMBER(SEARCH({"박은영","최강록","이정후"},F79)))&gt;0,"O","")</f>
        <v/>
      </c>
      <c r="J79" s="1" t="str" cm="1">
        <f t="array" ref="J79">IF(SUMPRODUCT(--ISNUMBER(SEARCH({"산리오","포차코","마이멜로디","잔망루피","티니핑","KBO"},F79)))&gt;0,"O","")</f>
        <v/>
      </c>
      <c r="K79" s="1" t="str" cm="1">
        <f t="array" ref="K79">IF(SUMPRODUCT(--ISNUMBER(SEARCH({"Dole","추성훈","하정우","안유성","히밥","좀비딸"},F79)))&gt;0,"O","")</f>
        <v/>
      </c>
      <c r="L79" s="1" t="str" cm="1">
        <f t="array" ref="L79">IF(SUMPRODUCT(--ISNUMBER(SEARCH({"쪼코쪼코","분홍분홍","노랑노랑","콩닥콩닥","촉촉"},F79)))&gt;0,"O","")</f>
        <v/>
      </c>
    </row>
    <row r="80" spans="1:12" x14ac:dyDescent="0.6">
      <c r="A80" t="s">
        <v>144</v>
      </c>
      <c r="B80">
        <v>7</v>
      </c>
      <c r="C80">
        <v>4</v>
      </c>
      <c r="D80">
        <v>57.1</v>
      </c>
      <c r="E80">
        <v>1821502</v>
      </c>
      <c r="F80" t="s">
        <v>145</v>
      </c>
      <c r="G80" s="1" t="str">
        <f t="shared" si="1"/>
        <v/>
      </c>
      <c r="H80" s="1" t="str" cm="1">
        <f t="array" ref="H80">IF(SUMPRODUCT(--ISNUMBER(SEARCH({"PB)","세븐카페)","세븐일레븐","세븐셀렉트"},F80)))&gt;0,"O","")</f>
        <v/>
      </c>
      <c r="I80" s="1" t="str" cm="1">
        <f t="array" ref="I80">IF(SUMPRODUCT(--ISNUMBER(SEARCH({"박은영","최강록","이정후"},F80)))&gt;0,"O","")</f>
        <v/>
      </c>
      <c r="J80" s="1" t="str" cm="1">
        <f t="array" ref="J80">IF(SUMPRODUCT(--ISNUMBER(SEARCH({"산리오","포차코","마이멜로디","잔망루피","티니핑","KBO"},F80)))&gt;0,"O","")</f>
        <v/>
      </c>
      <c r="K80" s="1" t="str" cm="1">
        <f t="array" ref="K80">IF(SUMPRODUCT(--ISNUMBER(SEARCH({"Dole","추성훈","하정우","안유성","히밥","좀비딸"},F80)))&gt;0,"O","")</f>
        <v/>
      </c>
      <c r="L80" s="1" t="str" cm="1">
        <f t="array" ref="L80">IF(SUMPRODUCT(--ISNUMBER(SEARCH({"쪼코쪼코","분홍분홍","노랑노랑","콩닥콩닥","촉촉"},F80)))&gt;0,"O","")</f>
        <v/>
      </c>
    </row>
    <row r="81" spans="1:12" x14ac:dyDescent="0.6">
      <c r="A81" t="s">
        <v>146</v>
      </c>
      <c r="B81">
        <v>14</v>
      </c>
      <c r="C81">
        <v>4</v>
      </c>
      <c r="D81">
        <v>28.6</v>
      </c>
      <c r="E81">
        <v>1657582</v>
      </c>
      <c r="F81" t="s">
        <v>147</v>
      </c>
      <c r="G81" s="1" t="str">
        <f t="shared" si="1"/>
        <v/>
      </c>
      <c r="H81" s="1" t="str" cm="1">
        <f t="array" ref="H81">IF(SUMPRODUCT(--ISNUMBER(SEARCH({"PB)","세븐카페)","세븐일레븐","세븐셀렉트"},F81)))&gt;0,"O","")</f>
        <v/>
      </c>
      <c r="I81" s="1" t="str" cm="1">
        <f t="array" ref="I81">IF(SUMPRODUCT(--ISNUMBER(SEARCH({"박은영","최강록","이정후"},F81)))&gt;0,"O","")</f>
        <v/>
      </c>
      <c r="J81" s="1" t="str" cm="1">
        <f t="array" ref="J81">IF(SUMPRODUCT(--ISNUMBER(SEARCH({"산리오","포차코","마이멜로디","잔망루피","티니핑","KBO"},F81)))&gt;0,"O","")</f>
        <v/>
      </c>
      <c r="K81" s="1" t="str" cm="1">
        <f t="array" ref="K81">IF(SUMPRODUCT(--ISNUMBER(SEARCH({"Dole","추성훈","하정우","안유성","히밥","좀비딸"},F81)))&gt;0,"O","")</f>
        <v/>
      </c>
      <c r="L81" s="1" t="str" cm="1">
        <f t="array" ref="L81">IF(SUMPRODUCT(--ISNUMBER(SEARCH({"쪼코쪼코","분홍분홍","노랑노랑","콩닥콩닥","촉촉"},F81)))&gt;0,"O","")</f>
        <v/>
      </c>
    </row>
    <row r="82" spans="1:12" x14ac:dyDescent="0.6">
      <c r="A82" t="s">
        <v>148</v>
      </c>
      <c r="B82">
        <v>20</v>
      </c>
      <c r="C82">
        <v>3</v>
      </c>
      <c r="D82">
        <v>15</v>
      </c>
      <c r="E82">
        <v>1523892</v>
      </c>
      <c r="F82" t="s">
        <v>149</v>
      </c>
      <c r="G82" s="1" t="str">
        <f t="shared" si="1"/>
        <v/>
      </c>
      <c r="H82" s="1" t="str" cm="1">
        <f t="array" ref="H82">IF(SUMPRODUCT(--ISNUMBER(SEARCH({"PB)","세븐카페)","세븐일레븐","세븐셀렉트"},F82)))&gt;0,"O","")</f>
        <v/>
      </c>
      <c r="I82" s="1" t="str" cm="1">
        <f t="array" ref="I82">IF(SUMPRODUCT(--ISNUMBER(SEARCH({"박은영","최강록","이정후"},F82)))&gt;0,"O","")</f>
        <v/>
      </c>
      <c r="J82" s="1" t="str" cm="1">
        <f t="array" ref="J82">IF(SUMPRODUCT(--ISNUMBER(SEARCH({"산리오","포차코","마이멜로디","잔망루피","티니핑","KBO"},F82)))&gt;0,"O","")</f>
        <v/>
      </c>
      <c r="K82" s="1" t="str" cm="1">
        <f t="array" ref="K82">IF(SUMPRODUCT(--ISNUMBER(SEARCH({"Dole","추성훈","하정우","안유성","히밥","좀비딸"},F82)))&gt;0,"O","")</f>
        <v/>
      </c>
      <c r="L82" s="1" t="str" cm="1">
        <f t="array" ref="L82">IF(SUMPRODUCT(--ISNUMBER(SEARCH({"쪼코쪼코","분홍분홍","노랑노랑","콩닥콩닥","촉촉"},F82)))&gt;0,"O","")</f>
        <v/>
      </c>
    </row>
    <row r="83" spans="1:12" x14ac:dyDescent="0.6">
      <c r="A83" t="s">
        <v>150</v>
      </c>
      <c r="B83">
        <v>24</v>
      </c>
      <c r="C83">
        <v>8</v>
      </c>
      <c r="D83">
        <v>33.299999999999997</v>
      </c>
      <c r="E83">
        <v>1159265</v>
      </c>
      <c r="F83" t="s">
        <v>151</v>
      </c>
      <c r="G83" s="1" t="str">
        <f t="shared" si="1"/>
        <v/>
      </c>
      <c r="H83" s="1" t="str" cm="1">
        <f t="array" ref="H83">IF(SUMPRODUCT(--ISNUMBER(SEARCH({"PB)","세븐카페)","세븐일레븐","세븐셀렉트"},F83)))&gt;0,"O","")</f>
        <v/>
      </c>
      <c r="I83" s="1" t="str" cm="1">
        <f t="array" ref="I83">IF(SUMPRODUCT(--ISNUMBER(SEARCH({"박은영","최강록","이정후"},F83)))&gt;0,"O","")</f>
        <v/>
      </c>
      <c r="J83" s="1" t="str" cm="1">
        <f t="array" ref="J83">IF(SUMPRODUCT(--ISNUMBER(SEARCH({"산리오","포차코","마이멜로디","잔망루피","티니핑","KBO"},F83)))&gt;0,"O","")</f>
        <v/>
      </c>
      <c r="K83" s="1" t="str" cm="1">
        <f t="array" ref="K83">IF(SUMPRODUCT(--ISNUMBER(SEARCH({"Dole","추성훈","하정우","안유성","히밥","좀비딸"},F83)))&gt;0,"O","")</f>
        <v/>
      </c>
      <c r="L83" s="1" t="str" cm="1">
        <f t="array" ref="L83">IF(SUMPRODUCT(--ISNUMBER(SEARCH({"쪼코쪼코","분홍분홍","노랑노랑","콩닥콩닥","촉촉"},F83)))&gt;0,"O","")</f>
        <v/>
      </c>
    </row>
    <row r="84" spans="1:12" x14ac:dyDescent="0.6">
      <c r="A84" t="s">
        <v>152</v>
      </c>
      <c r="B84">
        <v>14</v>
      </c>
      <c r="C84">
        <v>2</v>
      </c>
      <c r="D84">
        <v>14.3</v>
      </c>
      <c r="E84">
        <v>1104149</v>
      </c>
      <c r="F84" t="s">
        <v>153</v>
      </c>
      <c r="G84" s="1" t="s">
        <v>170</v>
      </c>
      <c r="H84" s="1" t="str" cm="1">
        <f t="array" ref="H84">IF(SUMPRODUCT(--ISNUMBER(SEARCH({"PB)","세븐카페)","세븐일레븐","세븐셀렉트"},F84)))&gt;0,"O","")</f>
        <v/>
      </c>
      <c r="I84" s="1" t="str" cm="1">
        <f t="array" ref="I84">IF(SUMPRODUCT(--ISNUMBER(SEARCH({"박은영","최강록","이정후"},F84)))&gt;0,"O","")</f>
        <v/>
      </c>
      <c r="J84" s="1" t="s">
        <v>170</v>
      </c>
      <c r="K84" s="1" t="str" cm="1">
        <f t="array" ref="K84">IF(SUMPRODUCT(--ISNUMBER(SEARCH({"Dole","추성훈","하정우","안유성","히밥","좀비딸"},F84)))&gt;0,"O","")</f>
        <v/>
      </c>
      <c r="L84" s="1" t="str" cm="1">
        <f t="array" ref="L84">IF(SUMPRODUCT(--ISNUMBER(SEARCH({"쪼코쪼코","분홍분홍","노랑노랑","콩닥콩닥","촉촉"},F84)))&gt;0,"O","")</f>
        <v/>
      </c>
    </row>
    <row r="85" spans="1:12" x14ac:dyDescent="0.6">
      <c r="A85" t="s">
        <v>154</v>
      </c>
      <c r="B85">
        <v>25</v>
      </c>
      <c r="C85">
        <v>8</v>
      </c>
      <c r="D85">
        <v>32</v>
      </c>
      <c r="E85">
        <v>937929</v>
      </c>
      <c r="F85" t="s">
        <v>155</v>
      </c>
      <c r="G85" s="1" t="s">
        <v>170</v>
      </c>
      <c r="H85" s="1" t="s">
        <v>170</v>
      </c>
      <c r="I85" s="1" t="str" cm="1">
        <f t="array" ref="I85">IF(SUMPRODUCT(--ISNUMBER(SEARCH({"박은영","최강록","이정후"},F85)))&gt;0,"O","")</f>
        <v/>
      </c>
      <c r="J85" s="1" t="str" cm="1">
        <f t="array" ref="J85">IF(SUMPRODUCT(--ISNUMBER(SEARCH({"산리오","포차코","마이멜로디","잔망루피","티니핑","KBO"},F85)))&gt;0,"O","")</f>
        <v/>
      </c>
      <c r="K85" s="1" t="str" cm="1">
        <f t="array" ref="K85">IF(SUMPRODUCT(--ISNUMBER(SEARCH({"Dole","추성훈","하정우","안유성","히밥","좀비딸"},F85)))&gt;0,"O","")</f>
        <v/>
      </c>
      <c r="L85" s="1" t="str" cm="1">
        <f t="array" ref="L85">IF(SUMPRODUCT(--ISNUMBER(SEARCH({"쪼코쪼코","분홍분홍","노랑노랑","콩닥콩닥","촉촉"},F85)))&gt;0,"O","")</f>
        <v/>
      </c>
    </row>
    <row r="86" spans="1:12" x14ac:dyDescent="0.6">
      <c r="A86" t="s">
        <v>156</v>
      </c>
      <c r="B86">
        <v>6</v>
      </c>
      <c r="C86">
        <v>2</v>
      </c>
      <c r="D86">
        <v>33.299999999999997</v>
      </c>
      <c r="E86">
        <v>745860</v>
      </c>
      <c r="F86" t="s">
        <v>157</v>
      </c>
      <c r="G86" s="1" t="str">
        <f t="shared" si="1"/>
        <v/>
      </c>
      <c r="H86" s="1" t="str" cm="1">
        <f t="array" ref="H86">IF(SUMPRODUCT(--ISNUMBER(SEARCH({"PB)","세븐카페)","세븐일레븐","세븐셀렉트"},F86)))&gt;0,"O","")</f>
        <v/>
      </c>
      <c r="I86" s="1" t="str" cm="1">
        <f t="array" ref="I86">IF(SUMPRODUCT(--ISNUMBER(SEARCH({"박은영","최강록","이정후"},F86)))&gt;0,"O","")</f>
        <v/>
      </c>
      <c r="J86" s="1" t="str" cm="1">
        <f t="array" ref="J86">IF(SUMPRODUCT(--ISNUMBER(SEARCH({"산리오","포차코","마이멜로디","잔망루피","티니핑","KBO"},F86)))&gt;0,"O","")</f>
        <v/>
      </c>
      <c r="K86" s="1" t="str" cm="1">
        <f t="array" ref="K86">IF(SUMPRODUCT(--ISNUMBER(SEARCH({"Dole","추성훈","하정우","안유성","히밥","좀비딸"},F86)))&gt;0,"O","")</f>
        <v/>
      </c>
      <c r="L86" s="1" t="str" cm="1">
        <f t="array" ref="L86">IF(SUMPRODUCT(--ISNUMBER(SEARCH({"쪼코쪼코","분홍분홍","노랑노랑","콩닥콩닥","촉촉"},F86)))&gt;0,"O","")</f>
        <v/>
      </c>
    </row>
    <row r="87" spans="1:12" x14ac:dyDescent="0.6">
      <c r="A87" t="s">
        <v>158</v>
      </c>
      <c r="B87">
        <v>12</v>
      </c>
      <c r="C87">
        <v>5</v>
      </c>
      <c r="D87">
        <v>41.7</v>
      </c>
      <c r="E87">
        <v>576200</v>
      </c>
      <c r="F87" t="s">
        <v>189</v>
      </c>
      <c r="G87" s="1" t="str">
        <f t="shared" si="1"/>
        <v/>
      </c>
      <c r="H87" s="1" t="str" cm="1">
        <f t="array" ref="H87">IF(SUMPRODUCT(--ISNUMBER(SEARCH({"PB)","세븐카페)","세븐일레븐","세븐셀렉트"},F87)))&gt;0,"O","")</f>
        <v/>
      </c>
      <c r="I87" s="1" t="str" cm="1">
        <f t="array" ref="I87">IF(SUMPRODUCT(--ISNUMBER(SEARCH({"박은영","최강록","이정후"},F87)))&gt;0,"O","")</f>
        <v/>
      </c>
      <c r="J87" s="1" t="str" cm="1">
        <f t="array" ref="J87">IF(SUMPRODUCT(--ISNUMBER(SEARCH({"산리오","포차코","마이멜로디","잔망루피","티니핑","KBO"},F87)))&gt;0,"O","")</f>
        <v/>
      </c>
      <c r="K87" s="1" t="str" cm="1">
        <f t="array" ref="K87">IF(SUMPRODUCT(--ISNUMBER(SEARCH({"Dole","추성훈","하정우","안유성","히밥","좀비딸"},F87)))&gt;0,"O","")</f>
        <v/>
      </c>
      <c r="L87" s="1" t="str" cm="1">
        <f t="array" ref="L87">IF(SUMPRODUCT(--ISNUMBER(SEARCH({"쪼코쪼코","분홍분홍","노랑노랑","콩닥콩닥","촉촉"},F87)))&gt;0,"O","")</f>
        <v/>
      </c>
    </row>
    <row r="88" spans="1:12" x14ac:dyDescent="0.6">
      <c r="A88" t="s">
        <v>159</v>
      </c>
      <c r="B88">
        <v>6</v>
      </c>
      <c r="C88">
        <v>1</v>
      </c>
      <c r="D88">
        <v>16.7</v>
      </c>
      <c r="E88">
        <v>286570</v>
      </c>
      <c r="F88" t="s">
        <v>160</v>
      </c>
      <c r="G88" s="1" t="str">
        <f t="shared" si="1"/>
        <v/>
      </c>
      <c r="H88" s="1" t="str" cm="1">
        <f t="array" ref="H88">IF(SUMPRODUCT(--ISNUMBER(SEARCH({"PB)","세븐카페)","세븐일레븐","세븐셀렉트"},F88)))&gt;0,"O","")</f>
        <v/>
      </c>
      <c r="I88" s="1" t="str" cm="1">
        <f t="array" ref="I88">IF(SUMPRODUCT(--ISNUMBER(SEARCH({"박은영","최강록","이정후"},F88)))&gt;0,"O","")</f>
        <v/>
      </c>
      <c r="J88" s="1" t="str" cm="1">
        <f t="array" ref="J88">IF(SUMPRODUCT(--ISNUMBER(SEARCH({"산리오","포차코","마이멜로디","잔망루피","티니핑","KBO"},F88)))&gt;0,"O","")</f>
        <v/>
      </c>
      <c r="K88" s="1" t="str" cm="1">
        <f t="array" ref="K88">IF(SUMPRODUCT(--ISNUMBER(SEARCH({"Dole","추성훈","하정우","안유성","히밥","좀비딸"},F88)))&gt;0,"O","")</f>
        <v/>
      </c>
      <c r="L88" s="1" t="str" cm="1">
        <f t="array" ref="L88">IF(SUMPRODUCT(--ISNUMBER(SEARCH({"쪼코쪼코","분홍분홍","노랑노랑","콩닥콩닥","촉촉"},F88)))&gt;0,"O","")</f>
        <v/>
      </c>
    </row>
    <row r="89" spans="1:12" x14ac:dyDescent="0.6">
      <c r="A89" t="s">
        <v>161</v>
      </c>
      <c r="B89">
        <v>12</v>
      </c>
      <c r="C89">
        <v>3</v>
      </c>
      <c r="D89">
        <v>25</v>
      </c>
      <c r="E89">
        <v>229631</v>
      </c>
      <c r="F89" t="s">
        <v>162</v>
      </c>
      <c r="G89" s="1" t="str">
        <f t="shared" si="1"/>
        <v/>
      </c>
      <c r="H89" s="1" t="str" cm="1">
        <f t="array" ref="H89">IF(SUMPRODUCT(--ISNUMBER(SEARCH({"PB)","세븐카페)","세븐일레븐","세븐셀렉트"},F89)))&gt;0,"O","")</f>
        <v/>
      </c>
      <c r="I89" s="1" t="str" cm="1">
        <f t="array" ref="I89">IF(SUMPRODUCT(--ISNUMBER(SEARCH({"박은영","최강록","이정후"},F89)))&gt;0,"O","")</f>
        <v/>
      </c>
      <c r="J89" s="1" t="str" cm="1">
        <f t="array" ref="J89">IF(SUMPRODUCT(--ISNUMBER(SEARCH({"산리오","포차코","마이멜로디","잔망루피","티니핑","KBO"},F89)))&gt;0,"O","")</f>
        <v/>
      </c>
      <c r="K89" s="1" t="str" cm="1">
        <f t="array" ref="K89">IF(SUMPRODUCT(--ISNUMBER(SEARCH({"Dole","추성훈","하정우","안유성","히밥","좀비딸"},F89)))&gt;0,"O","")</f>
        <v/>
      </c>
      <c r="L89" s="1" t="str" cm="1">
        <f t="array" ref="L89">IF(SUMPRODUCT(--ISNUMBER(SEARCH({"쪼코쪼코","분홍분홍","노랑노랑","콩닥콩닥","촉촉"},F89)))&gt;0,"O","")</f>
        <v/>
      </c>
    </row>
    <row r="90" spans="1:12" x14ac:dyDescent="0.6">
      <c r="A90" t="s">
        <v>164</v>
      </c>
      <c r="B90">
        <v>1</v>
      </c>
      <c r="C90">
        <v>1</v>
      </c>
      <c r="D90">
        <v>100</v>
      </c>
      <c r="E90">
        <v>99744</v>
      </c>
      <c r="F90" t="s">
        <v>165</v>
      </c>
      <c r="G90" s="1" t="str">
        <f t="shared" si="1"/>
        <v/>
      </c>
      <c r="H90" s="1" t="str" cm="1">
        <f t="array" ref="H90">IF(SUMPRODUCT(--ISNUMBER(SEARCH({"PB)","세븐카페)","세븐일레븐","세븐셀렉트"},F90)))&gt;0,"O","")</f>
        <v/>
      </c>
      <c r="I90" s="1" t="str" cm="1">
        <f t="array" ref="I90">IF(SUMPRODUCT(--ISNUMBER(SEARCH({"박은영","최강록","이정후"},F90)))&gt;0,"O","")</f>
        <v/>
      </c>
      <c r="J90" s="1" t="str" cm="1">
        <f t="array" ref="J90">IF(SUMPRODUCT(--ISNUMBER(SEARCH({"산리오","포차코","마이멜로디","잔망루피","티니핑","KBO"},F90)))&gt;0,"O","")</f>
        <v/>
      </c>
      <c r="K90" s="1" t="str" cm="1">
        <f t="array" ref="K90">IF(SUMPRODUCT(--ISNUMBER(SEARCH({"Dole","추성훈","하정우","안유성","히밥","좀비딸"},F90)))&gt;0,"O","")</f>
        <v/>
      </c>
      <c r="L90" s="1" t="str" cm="1">
        <f t="array" ref="L90">IF(SUMPRODUCT(--ISNUMBER(SEARCH({"쪼코쪼코","분홍분홍","노랑노랑","콩닥콩닥","촉촉"},F90)))&gt;0,"O","")</f>
        <v/>
      </c>
    </row>
    <row r="91" spans="1:12" x14ac:dyDescent="0.6">
      <c r="A91" t="s">
        <v>166</v>
      </c>
      <c r="B91">
        <v>9</v>
      </c>
      <c r="C91">
        <v>5</v>
      </c>
      <c r="D91">
        <v>55.6</v>
      </c>
      <c r="E91">
        <v>73110</v>
      </c>
      <c r="F91" t="s">
        <v>167</v>
      </c>
      <c r="G91" s="1" t="str">
        <f t="shared" si="1"/>
        <v/>
      </c>
      <c r="H91" s="1" t="str" cm="1">
        <f t="array" ref="H91">IF(SUMPRODUCT(--ISNUMBER(SEARCH({"PB)","세븐카페)","세븐일레븐","세븐셀렉트"},F91)))&gt;0,"O","")</f>
        <v/>
      </c>
      <c r="I91" s="1" t="str" cm="1">
        <f t="array" ref="I91">IF(SUMPRODUCT(--ISNUMBER(SEARCH({"박은영","최강록","이정후"},F91)))&gt;0,"O","")</f>
        <v/>
      </c>
      <c r="J91" s="1" t="str" cm="1">
        <f t="array" ref="J91">IF(SUMPRODUCT(--ISNUMBER(SEARCH({"산리오","포차코","마이멜로디","잔망루피","티니핑","KBO"},F91)))&gt;0,"O","")</f>
        <v/>
      </c>
      <c r="K91" s="1" t="str" cm="1">
        <f t="array" ref="K91">IF(SUMPRODUCT(--ISNUMBER(SEARCH({"Dole","추성훈","하정우","안유성","히밥","좀비딸"},F91)))&gt;0,"O","")</f>
        <v/>
      </c>
      <c r="L91" s="1" t="str" cm="1">
        <f t="array" ref="L91">IF(SUMPRODUCT(--ISNUMBER(SEARCH({"쪼코쪼코","분홍분홍","노랑노랑","콩닥콩닥","촉촉"},F91)))&gt;0,"O","")</f>
        <v/>
      </c>
    </row>
    <row r="92" spans="1:12" x14ac:dyDescent="0.6">
      <c r="A92" t="s">
        <v>168</v>
      </c>
      <c r="B92">
        <v>4</v>
      </c>
      <c r="C92">
        <v>4</v>
      </c>
      <c r="D92">
        <v>100</v>
      </c>
      <c r="E92">
        <v>18930</v>
      </c>
      <c r="F92" t="s">
        <v>169</v>
      </c>
      <c r="G92" s="1" t="str">
        <f t="shared" si="1"/>
        <v/>
      </c>
      <c r="H92" s="1" t="str" cm="1">
        <f t="array" ref="H92">IF(SUMPRODUCT(--ISNUMBER(SEARCH({"PB)","세븐카페)","세븐일레븐","세븐셀렉트"},F92)))&gt;0,"O","")</f>
        <v/>
      </c>
      <c r="I92" s="1" t="str" cm="1">
        <f t="array" ref="I92">IF(SUMPRODUCT(--ISNUMBER(SEARCH({"박은영","최강록","이정후"},F92)))&gt;0,"O","")</f>
        <v/>
      </c>
      <c r="J92" s="1" t="str" cm="1">
        <f t="array" ref="J92">IF(SUMPRODUCT(--ISNUMBER(SEARCH({"산리오","포차코","마이멜로디","잔망루피","티니핑","KBO"},F92)))&gt;0,"O","")</f>
        <v/>
      </c>
      <c r="K92" s="1" t="str" cm="1">
        <f t="array" ref="K92">IF(SUMPRODUCT(--ISNUMBER(SEARCH({"Dole","추성훈","하정우","안유성","히밥","좀비딸"},F92)))&gt;0,"O","")</f>
        <v/>
      </c>
      <c r="L92" s="1" t="str" cm="1">
        <f t="array" ref="L92">IF(SUMPRODUCT(--ISNUMBER(SEARCH({"쪼코쪼코","분홍분홍","노랑노랑","콩닥콩닥","촉촉"},F92)))&gt;0,"O","")</f>
        <v/>
      </c>
    </row>
  </sheetData>
  <autoFilter ref="A1:L92" xr:uid="{B51352E9-FF08-4F37-9CC8-B6B6DAFE4BE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00_Master_npd_1month_pareto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송정현</cp:lastModifiedBy>
  <dcterms:created xsi:type="dcterms:W3CDTF">2026-04-22T06:00:17Z</dcterms:created>
  <dcterms:modified xsi:type="dcterms:W3CDTF">2026-04-22T16:18:26Z</dcterms:modified>
</cp:coreProperties>
</file>